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unil\Sunby Group\Sunby Credtech Pvt Ltd\Platform Building\Loan Information Summary &amp; Eligibility\Eligibility\Final\Eligibility check model\"/>
    </mc:Choice>
  </mc:AlternateContent>
  <xr:revisionPtr revIDLastSave="0" documentId="8_{9974AF73-8E6A-4CCA-9D0B-217CDE9B8E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ligibility Calculator" sheetId="1" r:id="rId1"/>
    <sheet name="Policy Gri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B45" i="1"/>
  <c r="B41" i="1"/>
  <c r="B39" i="1"/>
  <c r="B40" i="1" s="1"/>
  <c r="B36" i="1"/>
  <c r="B37" i="1" s="1"/>
  <c r="B38" i="1" s="1"/>
  <c r="B32" i="1"/>
  <c r="B29" i="1"/>
  <c r="B25" i="1"/>
  <c r="B26" i="1" s="1"/>
  <c r="B33" i="1" s="1"/>
  <c r="B20" i="1"/>
  <c r="B19" i="1"/>
  <c r="B42" i="1" l="1"/>
  <c r="B44" i="1" s="1"/>
  <c r="B47" i="1" s="1"/>
  <c r="B43" i="1"/>
  <c r="B49" i="1" l="1"/>
  <c r="B50" i="1" s="1"/>
  <c r="B51" i="1" s="1"/>
  <c r="B52" i="1" s="1"/>
  <c r="B48" i="1"/>
</calcChain>
</file>

<file path=xl/sharedStrings.xml><?xml version="1.0" encoding="utf-8"?>
<sst xmlns="http://schemas.openxmlformats.org/spreadsheetml/2006/main" count="181" uniqueCount="105">
  <si>
    <t>Net Profit / LAP-HL Eligibility Calculator</t>
  </si>
  <si>
    <t>Loan Product</t>
  </si>
  <si>
    <t>LAP</t>
  </si>
  <si>
    <t>Dropdown: LAP / HL</t>
  </si>
  <si>
    <t>Formula Notes</t>
  </si>
  <si>
    <t>Property Type / Purpose</t>
  </si>
  <si>
    <t>Residential</t>
  </si>
  <si>
    <t>For LAP: Residential/Commercial/Industrial/Mixed Use/Plot/Specialised Property; For HL: Residential Purchase/etc.</t>
  </si>
  <si>
    <t>1. LTV cap is selected from Policy Grids based on product/property/occupancy.</t>
  </si>
  <si>
    <t>Occupancy</t>
  </si>
  <si>
    <t>Self Occupied</t>
  </si>
  <si>
    <t>For LAP occupancy; ignored for HL purchase purpose</t>
  </si>
  <si>
    <t>2. Tenure used is lower of requested tenure and product max tenure.</t>
  </si>
  <si>
    <t>Requested Loan Amount</t>
  </si>
  <si>
    <t>3. Rental income through bank is considered at 70% FOIR; cash rental is 0%.</t>
  </si>
  <si>
    <t>Property Value</t>
  </si>
  <si>
    <t>4. Net profit EMI uses dynamic Double Whammy: FOIR + Final LTV ≤ Double Whammy.</t>
  </si>
  <si>
    <t>Requested Tenure (Months)</t>
  </si>
  <si>
    <t>5. Final loan is restricted by requested amount, income eligibility, LTV cap and product min/max amount.</t>
  </si>
  <si>
    <t>ROI</t>
  </si>
  <si>
    <t>Double Whammy formula used: L = K × (NP Monthly × DW + Other EMI Capacity) / (1 + K × NP Monthly / Property Value)</t>
  </si>
  <si>
    <t>Double Whammy Allowed</t>
  </si>
  <si>
    <t>FOIR + LTV cannot exceed this</t>
  </si>
  <si>
    <t>K = EMI multiplier = PV(ROI/12, Tenure, -1)</t>
  </si>
  <si>
    <t>Maximum FOIR Cap</t>
  </si>
  <si>
    <t>Recommended cap</t>
  </si>
  <si>
    <t>Existing Obligation / EMI</t>
  </si>
  <si>
    <t>Income - Net Profit Method</t>
  </si>
  <si>
    <t>Net Profit after tax - ITR/P&amp;L - Latest Year</t>
  </si>
  <si>
    <t>Depreciation - ITR/P&amp;L</t>
  </si>
  <si>
    <t>Interest on loan - ITR/P&amp;L Finance Cost</t>
  </si>
  <si>
    <t>Director Remuneration</t>
  </si>
  <si>
    <t>Annual Net Cash Profit</t>
  </si>
  <si>
    <t>Formula: PAT + Dep + Interest + Director Remuneration</t>
  </si>
  <si>
    <t>Monthly Net Profit Income</t>
  </si>
  <si>
    <t>Formula: Annual Net Cash Profit / 12</t>
  </si>
  <si>
    <t>Other Income Inputs</t>
  </si>
  <si>
    <t>Agricultural Income - Annual</t>
  </si>
  <si>
    <t>Ownership Proof Provided</t>
  </si>
  <si>
    <t>No</t>
  </si>
  <si>
    <t>Yes = 100% FOIR; No = 50% FOIR for agri income</t>
  </si>
  <si>
    <t>Agricultural Income FOIR</t>
  </si>
  <si>
    <t>Agricultural EMI Capacity</t>
  </si>
  <si>
    <t>Rental Income - Bank (Monthly)</t>
  </si>
  <si>
    <t>FOIR 70%</t>
  </si>
  <si>
    <t>Rental Bank FOIR</t>
  </si>
  <si>
    <t>Rental Bank EMI Capacity</t>
  </si>
  <si>
    <t>Rental Income - Cash (Monthly)</t>
  </si>
  <si>
    <t>FOIR 0%</t>
  </si>
  <si>
    <t>Rental Cash FOIR</t>
  </si>
  <si>
    <t>Rental Cash EMI Capacity</t>
  </si>
  <si>
    <t>Fixed EMI Capacity from Other Income</t>
  </si>
  <si>
    <t>Agri + Rental Bank + Rental Cash - Existing Obligation</t>
  </si>
  <si>
    <t>Policy/Calculation Outputs</t>
  </si>
  <si>
    <t>Maximum Tenure as per Product</t>
  </si>
  <si>
    <t>Tenure Used</t>
  </si>
  <si>
    <t>Lower of requested tenure and policy max tenure</t>
  </si>
  <si>
    <t>EMI Multiplier</t>
  </si>
  <si>
    <t>PV factor for ₹1 EMI</t>
  </si>
  <si>
    <t>Policy LTV</t>
  </si>
  <si>
    <t>Lookup from LTV grid</t>
  </si>
  <si>
    <t>LTV-based Max Loan</t>
  </si>
  <si>
    <t>Requested Loan LTV</t>
  </si>
  <si>
    <t>Income Eligible Loan - Double Whammy Formula</t>
  </si>
  <si>
    <t>Income Eligible Loan - FOIR Cap Formula</t>
  </si>
  <si>
    <t>Income Eligible Loan</t>
  </si>
  <si>
    <t>Minimum of Double Whammy and FOIR Cap</t>
  </si>
  <si>
    <t>Minimum Loan as per Product</t>
  </si>
  <si>
    <t>Maximum Loan as per Product</t>
  </si>
  <si>
    <t>No capping treated as very high cap</t>
  </si>
  <si>
    <t>Final Eligible Loan Amount</t>
  </si>
  <si>
    <t>Minimum of requested loan, income eligibility, LTV cap, product max; not below min</t>
  </si>
  <si>
    <t>Eligibility Status</t>
  </si>
  <si>
    <t>Actual LTV on Final Loan</t>
  </si>
  <si>
    <t>Dynamic FOIR Applied on Net Profit Income</t>
  </si>
  <si>
    <t>Min(Max FOIR, Double Whammy - Actual LTV)</t>
  </si>
  <si>
    <t>Net Profit EMI Capacity</t>
  </si>
  <si>
    <t>Total Proposed EMI Capacity</t>
  </si>
  <si>
    <t>Net Profit EMI + Other Income EMI Capacity</t>
  </si>
  <si>
    <t>Product</t>
  </si>
  <si>
    <t>LTV</t>
  </si>
  <si>
    <t>Min Loan</t>
  </si>
  <si>
    <t>Max Loan</t>
  </si>
  <si>
    <t>Dropdown Lists</t>
  </si>
  <si>
    <t>Property Types / Purpose</t>
  </si>
  <si>
    <t>HL</t>
  </si>
  <si>
    <t>No Capping</t>
  </si>
  <si>
    <t>Rented</t>
  </si>
  <si>
    <t>Commercial</t>
  </si>
  <si>
    <t>Vacant</t>
  </si>
  <si>
    <t>Industrial</t>
  </si>
  <si>
    <t>Max Tenure (Months)</t>
  </si>
  <si>
    <t>Mixed Use</t>
  </si>
  <si>
    <t>Plot</t>
  </si>
  <si>
    <t>Yes</t>
  </si>
  <si>
    <t>Specialised Property</t>
  </si>
  <si>
    <t>Residential Purchase</t>
  </si>
  <si>
    <t>Any</t>
  </si>
  <si>
    <t>Commercial Purchase</t>
  </si>
  <si>
    <t>Industrial Purchase</t>
  </si>
  <si>
    <t>Plot Purchase</t>
  </si>
  <si>
    <t>Loan upto 30 lacs</t>
  </si>
  <si>
    <t>&gt;30 lac - 75 lacs</t>
  </si>
  <si>
    <t>&gt;75 lacs</t>
  </si>
  <si>
    <t>Tenure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</si>
</sst>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4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8ED3EA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2" fillId="0" borderId="4" xfId="0" applyFont="1" applyBorder="1"/>
    <xf numFmtId="0" fontId="0" fillId="4" borderId="5" xfId="0" applyFill="1" applyBorder="1" applyAlignment="1">
      <alignment horizontal="righ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right"/>
    </xf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3" fontId="0" fillId="4" borderId="5" xfId="0" applyNumberFormat="1" applyFill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2" fillId="3" borderId="5" xfId="0" applyNumberFormat="1" applyFont="1" applyFill="1" applyBorder="1" applyAlignment="1">
      <alignment horizontal="right"/>
    </xf>
    <xf numFmtId="3" fontId="2" fillId="5" borderId="5" xfId="0" applyNumberFormat="1" applyFont="1" applyFill="1" applyBorder="1" applyAlignment="1">
      <alignment horizontal="right"/>
    </xf>
    <xf numFmtId="3" fontId="0" fillId="0" borderId="8" xfId="0" applyNumberFormat="1" applyBorder="1" applyAlignment="1">
      <alignment horizontal="right"/>
    </xf>
    <xf numFmtId="10" fontId="0" fillId="4" borderId="5" xfId="0" applyNumberFormat="1" applyFill="1" applyBorder="1" applyAlignment="1">
      <alignment horizontal="right"/>
    </xf>
    <xf numFmtId="10" fontId="0" fillId="0" borderId="5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0" borderId="5" xfId="0" applyBorder="1" applyAlignment="1">
      <alignment wrapText="1"/>
    </xf>
    <xf numFmtId="0" fontId="2" fillId="3" borderId="5" xfId="0" applyFont="1" applyFill="1" applyBorder="1" applyAlignment="1">
      <alignment horizontal="left" wrapText="1"/>
    </xf>
    <xf numFmtId="0" fontId="0" fillId="0" borderId="8" xfId="0" applyBorder="1" applyAlignment="1">
      <alignment wrapText="1"/>
    </xf>
    <xf numFmtId="0" fontId="3" fillId="6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0" borderId="2" xfId="0" applyBorder="1"/>
    <xf numFmtId="0" fontId="3" fillId="6" borderId="3" xfId="0" applyFont="1" applyFill="1" applyBorder="1" applyAlignment="1">
      <alignment horizontal="center"/>
    </xf>
    <xf numFmtId="9" fontId="0" fillId="0" borderId="5" xfId="0" applyNumberFormat="1" applyBorder="1"/>
    <xf numFmtId="3" fontId="0" fillId="0" borderId="5" xfId="0" applyNumberFormat="1" applyBorder="1"/>
    <xf numFmtId="0" fontId="3" fillId="6" borderId="5" xfId="0" applyFont="1" applyFill="1" applyBorder="1" applyAlignment="1">
      <alignment horizontal="center"/>
    </xf>
    <xf numFmtId="0" fontId="0" fillId="0" borderId="7" xfId="0" applyBorder="1"/>
    <xf numFmtId="9" fontId="0" fillId="0" borderId="8" xfId="0" applyNumberFormat="1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sqref="A1:D1"/>
    </sheetView>
  </sheetViews>
  <sheetFormatPr defaultRowHeight="14"/>
  <cols>
    <col min="1" max="1" width="42" customWidth="1"/>
    <col min="2" max="2" width="18" customWidth="1"/>
    <col min="3" max="3" width="55" customWidth="1"/>
    <col min="4" max="4" width="2" customWidth="1"/>
    <col min="5" max="8" width="28" customWidth="1"/>
  </cols>
  <sheetData>
    <row r="1" spans="1:8" ht="18">
      <c r="A1" s="36" t="s">
        <v>0</v>
      </c>
      <c r="B1" s="37"/>
      <c r="C1" s="38"/>
      <c r="D1" s="39"/>
    </row>
    <row r="2" spans="1:8">
      <c r="A2" s="1"/>
      <c r="B2" s="2"/>
      <c r="C2" s="3"/>
      <c r="D2" s="4"/>
    </row>
    <row r="3" spans="1:8">
      <c r="A3" s="5" t="s">
        <v>1</v>
      </c>
      <c r="B3" s="6" t="s">
        <v>2</v>
      </c>
      <c r="C3" s="22" t="s">
        <v>3</v>
      </c>
      <c r="D3" s="4"/>
      <c r="E3" s="25" t="s">
        <v>4</v>
      </c>
      <c r="F3" s="25"/>
      <c r="G3" s="25"/>
      <c r="H3" s="25"/>
    </row>
    <row r="4" spans="1:8" ht="42">
      <c r="A4" s="5" t="s">
        <v>5</v>
      </c>
      <c r="B4" s="6" t="s">
        <v>6</v>
      </c>
      <c r="C4" s="22" t="s">
        <v>7</v>
      </c>
      <c r="D4" s="4"/>
      <c r="E4" s="35" t="s">
        <v>8</v>
      </c>
      <c r="F4" s="35"/>
      <c r="G4" s="35"/>
      <c r="H4" s="35"/>
    </row>
    <row r="5" spans="1:8" ht="42">
      <c r="A5" s="5" t="s">
        <v>9</v>
      </c>
      <c r="B5" s="6" t="s">
        <v>10</v>
      </c>
      <c r="C5" s="22" t="s">
        <v>11</v>
      </c>
      <c r="D5" s="4"/>
      <c r="E5" s="35" t="s">
        <v>12</v>
      </c>
      <c r="F5" s="35"/>
      <c r="G5" s="35"/>
      <c r="H5" s="35"/>
    </row>
    <row r="6" spans="1:8" ht="42">
      <c r="A6" s="5" t="s">
        <v>13</v>
      </c>
      <c r="B6" s="14">
        <v>25000000</v>
      </c>
      <c r="C6" s="22"/>
      <c r="D6" s="4"/>
      <c r="E6" s="35" t="s">
        <v>14</v>
      </c>
      <c r="F6" s="35"/>
      <c r="G6" s="35"/>
      <c r="H6" s="35"/>
    </row>
    <row r="7" spans="1:8" ht="42">
      <c r="A7" s="5" t="s">
        <v>15</v>
      </c>
      <c r="B7" s="14">
        <v>40000000</v>
      </c>
      <c r="C7" s="22"/>
      <c r="D7" s="4"/>
      <c r="E7" s="35" t="s">
        <v>16</v>
      </c>
      <c r="F7" s="35"/>
      <c r="G7" s="35"/>
      <c r="H7" s="35"/>
    </row>
    <row r="8" spans="1:8" ht="56">
      <c r="A8" s="5" t="s">
        <v>17</v>
      </c>
      <c r="B8" s="6">
        <v>180</v>
      </c>
      <c r="C8" s="22"/>
      <c r="D8" s="4"/>
      <c r="E8" s="35" t="s">
        <v>18</v>
      </c>
      <c r="F8" s="35"/>
      <c r="G8" s="35"/>
      <c r="H8" s="35"/>
    </row>
    <row r="9" spans="1:8" ht="56">
      <c r="A9" s="5" t="s">
        <v>19</v>
      </c>
      <c r="B9" s="19">
        <v>8.5000000000000006E-2</v>
      </c>
      <c r="C9" s="22"/>
      <c r="D9" s="4"/>
      <c r="E9" s="35" t="s">
        <v>20</v>
      </c>
      <c r="F9" s="35"/>
      <c r="G9" s="35"/>
      <c r="H9" s="35"/>
    </row>
    <row r="10" spans="1:8" ht="28">
      <c r="A10" s="5" t="s">
        <v>21</v>
      </c>
      <c r="B10" s="19">
        <v>1.4</v>
      </c>
      <c r="C10" s="22" t="s">
        <v>22</v>
      </c>
      <c r="D10" s="4"/>
      <c r="E10" s="35" t="s">
        <v>23</v>
      </c>
      <c r="F10" s="35"/>
      <c r="G10" s="35"/>
      <c r="H10" s="35"/>
    </row>
    <row r="11" spans="1:8">
      <c r="A11" s="5" t="s">
        <v>24</v>
      </c>
      <c r="B11" s="19">
        <v>1</v>
      </c>
      <c r="C11" s="22" t="s">
        <v>25</v>
      </c>
      <c r="D11" s="4"/>
      <c r="E11" s="35"/>
      <c r="F11" s="35"/>
      <c r="G11" s="35"/>
      <c r="H11" s="35"/>
    </row>
    <row r="12" spans="1:8">
      <c r="A12" s="5" t="s">
        <v>26</v>
      </c>
      <c r="B12" s="14">
        <v>0</v>
      </c>
      <c r="C12" s="22"/>
      <c r="D12" s="4"/>
      <c r="E12" s="35"/>
      <c r="F12" s="35"/>
      <c r="G12" s="35"/>
      <c r="H12" s="35"/>
    </row>
    <row r="13" spans="1:8">
      <c r="A13" s="5"/>
      <c r="B13" s="15"/>
      <c r="C13" s="22"/>
      <c r="D13" s="4"/>
    </row>
    <row r="14" spans="1:8">
      <c r="A14" s="7" t="s">
        <v>27</v>
      </c>
      <c r="B14" s="16"/>
      <c r="C14" s="23"/>
      <c r="D14" s="9"/>
    </row>
    <row r="15" spans="1:8">
      <c r="A15" s="5" t="s">
        <v>28</v>
      </c>
      <c r="B15" s="14">
        <v>1437483</v>
      </c>
      <c r="C15" s="22"/>
      <c r="D15" s="4"/>
    </row>
    <row r="16" spans="1:8">
      <c r="A16" s="5" t="s">
        <v>29</v>
      </c>
      <c r="B16" s="14">
        <v>31795</v>
      </c>
      <c r="C16" s="22"/>
      <c r="D16" s="4"/>
    </row>
    <row r="17" spans="1:4">
      <c r="A17" s="5" t="s">
        <v>30</v>
      </c>
      <c r="B17" s="14">
        <v>0</v>
      </c>
      <c r="C17" s="22"/>
      <c r="D17" s="4"/>
    </row>
    <row r="18" spans="1:4">
      <c r="A18" s="5" t="s">
        <v>31</v>
      </c>
      <c r="B18" s="14">
        <v>0</v>
      </c>
      <c r="C18" s="22"/>
      <c r="D18" s="4"/>
    </row>
    <row r="19" spans="1:4">
      <c r="A19" s="5" t="s">
        <v>32</v>
      </c>
      <c r="B19" s="15">
        <f>SUM(B15:B18)</f>
        <v>1469278</v>
      </c>
      <c r="C19" s="22" t="s">
        <v>33</v>
      </c>
      <c r="D19" s="4"/>
    </row>
    <row r="20" spans="1:4">
      <c r="A20" s="5" t="s">
        <v>34</v>
      </c>
      <c r="B20" s="15">
        <f>B19/12</f>
        <v>122439.83333333333</v>
      </c>
      <c r="C20" s="22" t="s">
        <v>35</v>
      </c>
      <c r="D20" s="4"/>
    </row>
    <row r="21" spans="1:4">
      <c r="A21" s="5"/>
      <c r="B21" s="2"/>
      <c r="C21" s="22"/>
      <c r="D21" s="4"/>
    </row>
    <row r="22" spans="1:4">
      <c r="A22" s="7" t="s">
        <v>36</v>
      </c>
      <c r="B22" s="8"/>
      <c r="C22" s="23"/>
      <c r="D22" s="9"/>
    </row>
    <row r="23" spans="1:4">
      <c r="A23" s="5" t="s">
        <v>37</v>
      </c>
      <c r="B23" s="14">
        <v>0</v>
      </c>
      <c r="C23" s="22"/>
      <c r="D23" s="4"/>
    </row>
    <row r="24" spans="1:4">
      <c r="A24" s="5" t="s">
        <v>38</v>
      </c>
      <c r="B24" s="6" t="s">
        <v>39</v>
      </c>
      <c r="C24" s="22" t="s">
        <v>40</v>
      </c>
      <c r="D24" s="4"/>
    </row>
    <row r="25" spans="1:4">
      <c r="A25" s="5" t="s">
        <v>41</v>
      </c>
      <c r="B25" s="20">
        <f>IF(B24="Yes",100%,50%)</f>
        <v>0.5</v>
      </c>
      <c r="C25" s="22"/>
      <c r="D25" s="4"/>
    </row>
    <row r="26" spans="1:4">
      <c r="A26" s="5" t="s">
        <v>42</v>
      </c>
      <c r="B26" s="15">
        <f>B23/12*B25</f>
        <v>0</v>
      </c>
      <c r="C26" s="22"/>
      <c r="D26" s="4"/>
    </row>
    <row r="27" spans="1:4">
      <c r="A27" s="5" t="s">
        <v>43</v>
      </c>
      <c r="B27" s="14">
        <v>0</v>
      </c>
      <c r="C27" s="22" t="s">
        <v>44</v>
      </c>
      <c r="D27" s="4"/>
    </row>
    <row r="28" spans="1:4">
      <c r="A28" s="5" t="s">
        <v>45</v>
      </c>
      <c r="B28" s="19">
        <v>0.7</v>
      </c>
      <c r="C28" s="22"/>
      <c r="D28" s="4"/>
    </row>
    <row r="29" spans="1:4">
      <c r="A29" s="5" t="s">
        <v>46</v>
      </c>
      <c r="B29" s="15">
        <f>B27*B28</f>
        <v>0</v>
      </c>
      <c r="C29" s="22"/>
      <c r="D29" s="4"/>
    </row>
    <row r="30" spans="1:4">
      <c r="A30" s="5" t="s">
        <v>47</v>
      </c>
      <c r="B30" s="14">
        <v>0</v>
      </c>
      <c r="C30" s="22" t="s">
        <v>48</v>
      </c>
      <c r="D30" s="4"/>
    </row>
    <row r="31" spans="1:4">
      <c r="A31" s="5" t="s">
        <v>49</v>
      </c>
      <c r="B31" s="19">
        <v>0</v>
      </c>
      <c r="C31" s="22"/>
      <c r="D31" s="4"/>
    </row>
    <row r="32" spans="1:4">
      <c r="A32" s="5" t="s">
        <v>50</v>
      </c>
      <c r="B32" s="15">
        <f>B30*B31</f>
        <v>0</v>
      </c>
      <c r="C32" s="22"/>
      <c r="D32" s="4"/>
    </row>
    <row r="33" spans="1:4">
      <c r="A33" s="5" t="s">
        <v>51</v>
      </c>
      <c r="B33" s="15">
        <f>B26+B29+B32-B12</f>
        <v>0</v>
      </c>
      <c r="C33" s="22" t="s">
        <v>52</v>
      </c>
      <c r="D33" s="4"/>
    </row>
    <row r="34" spans="1:4">
      <c r="A34" s="5"/>
      <c r="B34" s="2"/>
      <c r="C34" s="22"/>
      <c r="D34" s="4"/>
    </row>
    <row r="35" spans="1:4">
      <c r="A35" s="7" t="s">
        <v>53</v>
      </c>
      <c r="B35" s="8"/>
      <c r="C35" s="23"/>
      <c r="D35" s="9"/>
    </row>
    <row r="36" spans="1:4">
      <c r="A36" s="5" t="s">
        <v>54</v>
      </c>
      <c r="B36" s="2">
        <f>IF(B3="HL",VLOOKUP("HL",'Policy Grids'!$H$6:$I$7,2,FALSE),VLOOKUP("LAP",'Policy Grids'!$H$6:$I$7,2,FALSE))</f>
        <v>180</v>
      </c>
      <c r="C36" s="22"/>
      <c r="D36" s="4"/>
    </row>
    <row r="37" spans="1:4">
      <c r="A37" s="5" t="s">
        <v>55</v>
      </c>
      <c r="B37" s="2">
        <f>MIN(B8,B36)</f>
        <v>180</v>
      </c>
      <c r="C37" s="22" t="s">
        <v>56</v>
      </c>
      <c r="D37" s="4"/>
    </row>
    <row r="38" spans="1:4">
      <c r="A38" s="5" t="s">
        <v>57</v>
      </c>
      <c r="B38" s="21">
        <f>PV(B9/12,B37,-1)</f>
        <v>101.54969321091916</v>
      </c>
      <c r="C38" s="22" t="s">
        <v>58</v>
      </c>
      <c r="D38" s="4"/>
    </row>
    <row r="39" spans="1:4">
      <c r="A39" s="5" t="s">
        <v>59</v>
      </c>
      <c r="B39" s="20">
        <f>IF(B3="LAP",SUMIFS('Policy Grids'!$D$2:$D$17,'Policy Grids'!$A$2:$A$17,"LAP",'Policy Grids'!$B$2:$B$17,B4,'Policy Grids'!$C$2:$C$17,B5)+SUMIFS('Policy Grids'!$D$2:$D$17,'Policy Grids'!$A$2:$A$17,"LAP",'Policy Grids'!$B$2:$B$17,B4,'Policy Grids'!$C$2:$C$17,"Any"),IF(B4="Residential Purchase",IF(B6&lt;=3000000,90%,IF(B6&lt;=7500000,80%,75%)),IF(B4="Commercial Purchase",75%,IF(B4="Industrial Purchase",40%,IF(B4="Plot Purchase",75%,0)))))</f>
        <v>0.7</v>
      </c>
      <c r="C39" s="22" t="s">
        <v>60</v>
      </c>
      <c r="D39" s="4"/>
    </row>
    <row r="40" spans="1:4">
      <c r="A40" s="5" t="s">
        <v>61</v>
      </c>
      <c r="B40" s="15">
        <f>B7*B39</f>
        <v>28000000</v>
      </c>
      <c r="C40" s="22"/>
      <c r="D40" s="4"/>
    </row>
    <row r="41" spans="1:4">
      <c r="A41" s="5" t="s">
        <v>62</v>
      </c>
      <c r="B41" s="20">
        <f>B6/B7</f>
        <v>0.625</v>
      </c>
      <c r="C41" s="22"/>
      <c r="D41" s="4"/>
    </row>
    <row r="42" spans="1:4">
      <c r="A42" s="5" t="s">
        <v>63</v>
      </c>
      <c r="B42" s="15">
        <f>MAX(0,(B38*(B20*B10+B33))/(1+(B38*B20/B7)))</f>
        <v>13279405.712743487</v>
      </c>
      <c r="C42" s="22"/>
      <c r="D42" s="4"/>
    </row>
    <row r="43" spans="1:4">
      <c r="A43" s="5" t="s">
        <v>64</v>
      </c>
      <c r="B43" s="15">
        <f>MAX(0,B38*(B20*B11+B33))</f>
        <v>12433727.511796072</v>
      </c>
      <c r="C43" s="22"/>
      <c r="D43" s="4"/>
    </row>
    <row r="44" spans="1:4">
      <c r="A44" s="5" t="s">
        <v>65</v>
      </c>
      <c r="B44" s="15">
        <f>MIN(B42,B43)</f>
        <v>12433727.511796072</v>
      </c>
      <c r="C44" s="22" t="s">
        <v>66</v>
      </c>
      <c r="D44" s="4"/>
    </row>
    <row r="45" spans="1:4">
      <c r="A45" s="5" t="s">
        <v>67</v>
      </c>
      <c r="B45" s="15">
        <f>IF(B3="HL",VLOOKUP("HL",'Policy Grids'!$H$2:$J$3,2,FALSE),VLOOKUP("LAP",'Policy Grids'!$H$2:$J$3,2,FALSE))</f>
        <v>1000000</v>
      </c>
      <c r="C45" s="22"/>
      <c r="D45" s="4"/>
    </row>
    <row r="46" spans="1:4">
      <c r="A46" s="5" t="s">
        <v>68</v>
      </c>
      <c r="B46" s="15">
        <f>IF(B3="HL",IF(VLOOKUP("HL",'Policy Grids'!$H$2:$J$3,3,FALSE)="No Capping",9.99E+99,VLOOKUP("HL",'Policy Grids'!$H$2:$J$3,3,FALSE)),IF(VLOOKUP("LAP",'Policy Grids'!$H$2:$J$3,3,FALSE)="No Capping",9.99E+99,VLOOKUP("LAP",'Policy Grids'!$H$2:$J$3,3,FALSE)))</f>
        <v>9.9900000000000002E+99</v>
      </c>
      <c r="C46" s="22" t="s">
        <v>69</v>
      </c>
      <c r="D46" s="4"/>
    </row>
    <row r="47" spans="1:4" ht="28">
      <c r="A47" s="5" t="s">
        <v>70</v>
      </c>
      <c r="B47" s="17">
        <f>MIN(B6,B40,B44,B46)</f>
        <v>12433727.511796072</v>
      </c>
      <c r="C47" s="22" t="s">
        <v>71</v>
      </c>
      <c r="D47" s="4"/>
    </row>
    <row r="48" spans="1:4">
      <c r="A48" s="5" t="s">
        <v>72</v>
      </c>
      <c r="B48" s="10" t="str">
        <f>IF(B47&lt;B45,"Not Eligible - below minimum loan amount","Eligible")</f>
        <v>Eligible</v>
      </c>
      <c r="C48" s="22"/>
      <c r="D48" s="4"/>
    </row>
    <row r="49" spans="1:4">
      <c r="A49" s="5" t="s">
        <v>73</v>
      </c>
      <c r="B49" s="20">
        <f>IF(B7&gt;0,B47/B7,0)</f>
        <v>0.31084318779490178</v>
      </c>
      <c r="C49" s="22"/>
      <c r="D49" s="4"/>
    </row>
    <row r="50" spans="1:4">
      <c r="A50" s="5" t="s">
        <v>74</v>
      </c>
      <c r="B50" s="20">
        <f>MIN(B11,B10-B49)</f>
        <v>1</v>
      </c>
      <c r="C50" s="22" t="s">
        <v>75</v>
      </c>
      <c r="D50" s="4"/>
    </row>
    <row r="51" spans="1:4">
      <c r="A51" s="5" t="s">
        <v>76</v>
      </c>
      <c r="B51" s="15">
        <f>B20*B50</f>
        <v>122439.83333333333</v>
      </c>
      <c r="C51" s="22"/>
      <c r="D51" s="4"/>
    </row>
    <row r="52" spans="1:4">
      <c r="A52" s="11" t="s">
        <v>77</v>
      </c>
      <c r="B52" s="18">
        <f>B51+B33</f>
        <v>122439.83333333333</v>
      </c>
      <c r="C52" s="24" t="s">
        <v>78</v>
      </c>
      <c r="D52" s="13"/>
    </row>
  </sheetData>
  <mergeCells count="1">
    <mergeCell ref="A1:D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'Policy Grids'!$L$2:$L$3</xm:f>
          </x14:formula1>
          <xm:sqref>B3</xm:sqref>
        </x14:dataValidation>
        <x14:dataValidation type="list" xr:uid="{00000000-0002-0000-0000-000001000000}">
          <x14:formula1>
            <xm:f>'Policy Grids'!$M$2:$M$11</xm:f>
          </x14:formula1>
          <xm:sqref>B4</xm:sqref>
        </x14:dataValidation>
        <x14:dataValidation type="list" xr:uid="{00000000-0002-0000-0000-000002000000}">
          <x14:formula1>
            <xm:f>'Policy Grids'!$L$4:$L$6</xm:f>
          </x14:formula1>
          <xm:sqref>B5</xm:sqref>
        </x14:dataValidation>
        <x14:dataValidation type="list" xr:uid="{00000000-0002-0000-0000-000003000000}">
          <x14:formula1>
            <xm:f>'Policy Grids'!$L$7:$L$8</xm:f>
          </x14:formula1>
          <xm:sqref>B24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workbookViewId="0">
      <selection activeCell="A24" sqref="A24"/>
    </sheetView>
  </sheetViews>
  <sheetFormatPr defaultRowHeight="14"/>
  <cols>
    <col min="1" max="4" width="22" customWidth="1"/>
    <col min="8" max="10" width="18" customWidth="1"/>
    <col min="12" max="13" width="24" customWidth="1"/>
  </cols>
  <sheetData>
    <row r="1" spans="1:13">
      <c r="A1" s="26" t="s">
        <v>79</v>
      </c>
      <c r="B1" s="27" t="s">
        <v>5</v>
      </c>
      <c r="C1" s="27" t="s">
        <v>9</v>
      </c>
      <c r="D1" s="27" t="s">
        <v>80</v>
      </c>
      <c r="E1" s="28"/>
      <c r="F1" s="28"/>
      <c r="G1" s="28"/>
      <c r="H1" s="27" t="s">
        <v>79</v>
      </c>
      <c r="I1" s="27" t="s">
        <v>81</v>
      </c>
      <c r="J1" s="27" t="s">
        <v>82</v>
      </c>
      <c r="K1" s="28"/>
      <c r="L1" s="27" t="s">
        <v>83</v>
      </c>
      <c r="M1" s="29" t="s">
        <v>84</v>
      </c>
    </row>
    <row r="2" spans="1:13">
      <c r="A2" s="1" t="s">
        <v>2</v>
      </c>
      <c r="B2" s="3" t="s">
        <v>6</v>
      </c>
      <c r="C2" s="3" t="s">
        <v>10</v>
      </c>
      <c r="D2" s="30">
        <v>0.7</v>
      </c>
      <c r="E2" s="3"/>
      <c r="F2" s="3"/>
      <c r="G2" s="3"/>
      <c r="H2" s="3" t="s">
        <v>85</v>
      </c>
      <c r="I2" s="31">
        <v>500000</v>
      </c>
      <c r="J2" s="3" t="s">
        <v>86</v>
      </c>
      <c r="K2" s="3"/>
      <c r="L2" s="3" t="s">
        <v>2</v>
      </c>
      <c r="M2" s="4" t="s">
        <v>6</v>
      </c>
    </row>
    <row r="3" spans="1:13">
      <c r="A3" s="1" t="s">
        <v>2</v>
      </c>
      <c r="B3" s="3" t="s">
        <v>6</v>
      </c>
      <c r="C3" s="3" t="s">
        <v>87</v>
      </c>
      <c r="D3" s="30">
        <v>0.7</v>
      </c>
      <c r="E3" s="3"/>
      <c r="F3" s="3"/>
      <c r="G3" s="3"/>
      <c r="H3" s="3" t="s">
        <v>2</v>
      </c>
      <c r="I3" s="31">
        <v>1000000</v>
      </c>
      <c r="J3" s="3" t="s">
        <v>86</v>
      </c>
      <c r="K3" s="3"/>
      <c r="L3" s="3" t="s">
        <v>85</v>
      </c>
      <c r="M3" s="4" t="s">
        <v>88</v>
      </c>
    </row>
    <row r="4" spans="1:13">
      <c r="A4" s="1" t="s">
        <v>2</v>
      </c>
      <c r="B4" s="3" t="s">
        <v>6</v>
      </c>
      <c r="C4" s="3" t="s">
        <v>89</v>
      </c>
      <c r="D4" s="30">
        <v>0.7</v>
      </c>
      <c r="E4" s="3"/>
      <c r="F4" s="3"/>
      <c r="G4" s="3"/>
      <c r="H4" s="3"/>
      <c r="I4" s="3"/>
      <c r="J4" s="3"/>
      <c r="K4" s="3"/>
      <c r="L4" s="3" t="s">
        <v>10</v>
      </c>
      <c r="M4" s="4" t="s">
        <v>90</v>
      </c>
    </row>
    <row r="5" spans="1:13">
      <c r="A5" s="1" t="s">
        <v>2</v>
      </c>
      <c r="B5" s="3" t="s">
        <v>88</v>
      </c>
      <c r="C5" s="3" t="s">
        <v>10</v>
      </c>
      <c r="D5" s="30">
        <v>0.7</v>
      </c>
      <c r="E5" s="3"/>
      <c r="F5" s="3"/>
      <c r="G5" s="3"/>
      <c r="H5" s="32" t="s">
        <v>79</v>
      </c>
      <c r="I5" s="32" t="s">
        <v>91</v>
      </c>
      <c r="J5" s="3"/>
      <c r="K5" s="3"/>
      <c r="L5" s="3" t="s">
        <v>87</v>
      </c>
      <c r="M5" s="4" t="s">
        <v>92</v>
      </c>
    </row>
    <row r="6" spans="1:13">
      <c r="A6" s="1" t="s">
        <v>2</v>
      </c>
      <c r="B6" s="3" t="s">
        <v>88</v>
      </c>
      <c r="C6" s="3" t="s">
        <v>87</v>
      </c>
      <c r="D6" s="30">
        <v>0.7</v>
      </c>
      <c r="E6" s="3"/>
      <c r="F6" s="3"/>
      <c r="G6" s="3"/>
      <c r="H6" s="3" t="s">
        <v>85</v>
      </c>
      <c r="I6" s="3">
        <v>240</v>
      </c>
      <c r="J6" s="3"/>
      <c r="K6" s="3"/>
      <c r="L6" s="3" t="s">
        <v>89</v>
      </c>
      <c r="M6" s="4" t="s">
        <v>93</v>
      </c>
    </row>
    <row r="7" spans="1:13">
      <c r="A7" s="1" t="s">
        <v>2</v>
      </c>
      <c r="B7" s="3" t="s">
        <v>88</v>
      </c>
      <c r="C7" s="3" t="s">
        <v>89</v>
      </c>
      <c r="D7" s="30">
        <v>0.7</v>
      </c>
      <c r="E7" s="3"/>
      <c r="F7" s="3"/>
      <c r="G7" s="3"/>
      <c r="H7" s="3" t="s">
        <v>2</v>
      </c>
      <c r="I7" s="3">
        <v>180</v>
      </c>
      <c r="J7" s="3"/>
      <c r="K7" s="3"/>
      <c r="L7" s="3" t="s">
        <v>94</v>
      </c>
      <c r="M7" s="4" t="s">
        <v>95</v>
      </c>
    </row>
    <row r="8" spans="1:13">
      <c r="A8" s="1" t="s">
        <v>2</v>
      </c>
      <c r="B8" s="3" t="s">
        <v>90</v>
      </c>
      <c r="C8" s="3" t="s">
        <v>10</v>
      </c>
      <c r="D8" s="30">
        <v>0.4</v>
      </c>
      <c r="E8" s="3"/>
      <c r="F8" s="3"/>
      <c r="G8" s="3"/>
      <c r="H8" s="3"/>
      <c r="I8" s="3"/>
      <c r="J8" s="3"/>
      <c r="K8" s="3"/>
      <c r="L8" s="3" t="s">
        <v>39</v>
      </c>
      <c r="M8" s="4" t="s">
        <v>96</v>
      </c>
    </row>
    <row r="9" spans="1:13">
      <c r="A9" s="1" t="s">
        <v>2</v>
      </c>
      <c r="B9" s="3" t="s">
        <v>90</v>
      </c>
      <c r="C9" s="3" t="s">
        <v>87</v>
      </c>
      <c r="D9" s="30">
        <v>0.4</v>
      </c>
      <c r="E9" s="3"/>
      <c r="F9" s="3"/>
      <c r="G9" s="3"/>
      <c r="H9" s="3"/>
      <c r="I9" s="3"/>
      <c r="J9" s="3"/>
      <c r="K9" s="3"/>
      <c r="L9" s="3" t="s">
        <v>97</v>
      </c>
      <c r="M9" s="4" t="s">
        <v>98</v>
      </c>
    </row>
    <row r="10" spans="1:13">
      <c r="A10" s="1" t="s">
        <v>2</v>
      </c>
      <c r="B10" s="3" t="s">
        <v>90</v>
      </c>
      <c r="C10" s="3" t="s">
        <v>89</v>
      </c>
      <c r="D10" s="30">
        <v>0</v>
      </c>
      <c r="E10" s="3"/>
      <c r="F10" s="3"/>
      <c r="G10" s="3"/>
      <c r="H10" s="3"/>
      <c r="I10" s="3"/>
      <c r="J10" s="3"/>
      <c r="K10" s="3"/>
      <c r="L10" s="3"/>
      <c r="M10" s="4" t="s">
        <v>99</v>
      </c>
    </row>
    <row r="11" spans="1:13">
      <c r="A11" s="1" t="s">
        <v>2</v>
      </c>
      <c r="B11" s="3" t="s">
        <v>92</v>
      </c>
      <c r="C11" s="3" t="s">
        <v>10</v>
      </c>
      <c r="D11" s="30">
        <v>0.7</v>
      </c>
      <c r="E11" s="3"/>
      <c r="F11" s="3"/>
      <c r="G11" s="3"/>
      <c r="H11" s="3"/>
      <c r="I11" s="3"/>
      <c r="J11" s="3"/>
      <c r="K11" s="3"/>
      <c r="L11" s="3"/>
      <c r="M11" s="4" t="s">
        <v>100</v>
      </c>
    </row>
    <row r="12" spans="1:13">
      <c r="A12" s="1" t="s">
        <v>2</v>
      </c>
      <c r="B12" s="3" t="s">
        <v>92</v>
      </c>
      <c r="C12" s="3" t="s">
        <v>87</v>
      </c>
      <c r="D12" s="30">
        <v>0.7</v>
      </c>
      <c r="E12" s="3"/>
      <c r="F12" s="3"/>
      <c r="G12" s="3"/>
      <c r="H12" s="3"/>
      <c r="I12" s="3"/>
      <c r="J12" s="3"/>
      <c r="K12" s="3"/>
      <c r="L12" s="3"/>
      <c r="M12" s="4"/>
    </row>
    <row r="13" spans="1:13">
      <c r="A13" s="1" t="s">
        <v>2</v>
      </c>
      <c r="B13" s="3" t="s">
        <v>92</v>
      </c>
      <c r="C13" s="3" t="s">
        <v>89</v>
      </c>
      <c r="D13" s="30">
        <v>0.7</v>
      </c>
      <c r="E13" s="3"/>
      <c r="F13" s="3"/>
      <c r="G13" s="3"/>
      <c r="H13" s="3"/>
      <c r="I13" s="3"/>
      <c r="J13" s="3"/>
      <c r="K13" s="3"/>
      <c r="L13" s="3"/>
      <c r="M13" s="4"/>
    </row>
    <row r="14" spans="1:13">
      <c r="A14" s="1" t="s">
        <v>2</v>
      </c>
      <c r="B14" s="3" t="s">
        <v>93</v>
      </c>
      <c r="C14" s="3" t="s">
        <v>10</v>
      </c>
      <c r="D14" s="30">
        <v>0.4</v>
      </c>
      <c r="E14" s="3"/>
      <c r="F14" s="3"/>
      <c r="G14" s="3"/>
      <c r="H14" s="3"/>
      <c r="I14" s="3"/>
      <c r="J14" s="3"/>
      <c r="K14" s="3"/>
      <c r="L14" s="3"/>
      <c r="M14" s="4"/>
    </row>
    <row r="15" spans="1:13">
      <c r="A15" s="1" t="s">
        <v>2</v>
      </c>
      <c r="B15" s="3" t="s">
        <v>93</v>
      </c>
      <c r="C15" s="3" t="s">
        <v>87</v>
      </c>
      <c r="D15" s="30">
        <v>0.4</v>
      </c>
      <c r="E15" s="3"/>
      <c r="F15" s="3"/>
      <c r="G15" s="3"/>
      <c r="H15" s="3"/>
      <c r="I15" s="3"/>
      <c r="J15" s="3"/>
      <c r="K15" s="3"/>
      <c r="L15" s="3"/>
      <c r="M15" s="4"/>
    </row>
    <row r="16" spans="1:13">
      <c r="A16" s="1" t="s">
        <v>2</v>
      </c>
      <c r="B16" s="3" t="s">
        <v>93</v>
      </c>
      <c r="C16" s="3" t="s">
        <v>89</v>
      </c>
      <c r="D16" s="30">
        <v>0.4</v>
      </c>
      <c r="E16" s="3"/>
      <c r="F16" s="3"/>
      <c r="G16" s="3"/>
      <c r="H16" s="3"/>
      <c r="I16" s="3"/>
      <c r="J16" s="3"/>
      <c r="K16" s="3"/>
      <c r="L16" s="3"/>
      <c r="M16" s="4"/>
    </row>
    <row r="17" spans="1:13">
      <c r="A17" s="1" t="s">
        <v>2</v>
      </c>
      <c r="B17" s="3" t="s">
        <v>95</v>
      </c>
      <c r="C17" s="3" t="s">
        <v>97</v>
      </c>
      <c r="D17" s="30">
        <v>0.5</v>
      </c>
      <c r="E17" s="3"/>
      <c r="F17" s="3"/>
      <c r="G17" s="3"/>
      <c r="H17" s="3"/>
      <c r="I17" s="3"/>
      <c r="J17" s="3"/>
      <c r="K17" s="3"/>
      <c r="L17" s="3"/>
      <c r="M17" s="4"/>
    </row>
    <row r="18" spans="1:13">
      <c r="A18" s="1" t="s">
        <v>85</v>
      </c>
      <c r="B18" s="3" t="s">
        <v>96</v>
      </c>
      <c r="C18" s="3" t="s">
        <v>101</v>
      </c>
      <c r="D18" s="30">
        <v>0.9</v>
      </c>
      <c r="E18" s="3"/>
      <c r="F18" s="3"/>
      <c r="G18" s="3"/>
      <c r="H18" s="3"/>
      <c r="I18" s="3"/>
      <c r="J18" s="3"/>
      <c r="K18" s="3"/>
      <c r="L18" s="3"/>
      <c r="M18" s="4"/>
    </row>
    <row r="19" spans="1:13">
      <c r="A19" s="1" t="s">
        <v>85</v>
      </c>
      <c r="B19" s="3" t="s">
        <v>96</v>
      </c>
      <c r="C19" s="3" t="s">
        <v>102</v>
      </c>
      <c r="D19" s="30">
        <v>0.8</v>
      </c>
      <c r="E19" s="3"/>
      <c r="F19" s="3"/>
      <c r="G19" s="3"/>
      <c r="H19" s="3"/>
      <c r="I19" s="3"/>
      <c r="J19" s="3"/>
      <c r="K19" s="3"/>
      <c r="L19" s="3"/>
      <c r="M19" s="4"/>
    </row>
    <row r="20" spans="1:13">
      <c r="A20" s="1" t="s">
        <v>85</v>
      </c>
      <c r="B20" s="3" t="s">
        <v>96</v>
      </c>
      <c r="C20" s="3" t="s">
        <v>103</v>
      </c>
      <c r="D20" s="30">
        <v>0.75</v>
      </c>
      <c r="E20" s="3"/>
      <c r="F20" s="3"/>
      <c r="G20" s="3"/>
      <c r="H20" s="3"/>
      <c r="I20" s="3"/>
      <c r="J20" s="3"/>
      <c r="K20" s="3"/>
      <c r="L20" s="3"/>
      <c r="M20" s="4"/>
    </row>
    <row r="21" spans="1:13">
      <c r="A21" s="1" t="s">
        <v>85</v>
      </c>
      <c r="B21" s="3" t="s">
        <v>98</v>
      </c>
      <c r="C21" s="3" t="s">
        <v>97</v>
      </c>
      <c r="D21" s="30">
        <v>0.75</v>
      </c>
      <c r="E21" s="3"/>
      <c r="F21" s="3"/>
      <c r="G21" s="3"/>
      <c r="H21" s="3"/>
      <c r="I21" s="3"/>
      <c r="J21" s="3"/>
      <c r="K21" s="3"/>
      <c r="L21" s="3"/>
      <c r="M21" s="4"/>
    </row>
    <row r="22" spans="1:13">
      <c r="A22" s="1" t="s">
        <v>85</v>
      </c>
      <c r="B22" s="3" t="s">
        <v>99</v>
      </c>
      <c r="C22" s="3" t="s">
        <v>97</v>
      </c>
      <c r="D22" s="30">
        <v>0.4</v>
      </c>
      <c r="E22" s="3"/>
      <c r="F22" s="3"/>
      <c r="G22" s="3"/>
      <c r="H22" s="3"/>
      <c r="I22" s="3"/>
      <c r="J22" s="3"/>
      <c r="K22" s="3"/>
      <c r="L22" s="3"/>
      <c r="M22" s="4"/>
    </row>
    <row r="23" spans="1:13">
      <c r="A23" s="33" t="s">
        <v>85</v>
      </c>
      <c r="B23" s="12" t="s">
        <v>100</v>
      </c>
      <c r="C23" s="12" t="s">
        <v>97</v>
      </c>
      <c r="D23" s="34">
        <v>0.75</v>
      </c>
      <c r="E23" s="12"/>
      <c r="F23" s="12"/>
      <c r="G23" s="12"/>
      <c r="H23" s="12"/>
      <c r="I23" s="12"/>
      <c r="J23" s="12"/>
      <c r="K23" s="12"/>
      <c r="L23" s="12"/>
      <c r="M23" s="13"/>
    </row>
    <row r="25" spans="1:13">
      <c r="A2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Eligibility Calculator</vt:lpstr>
      <vt:lpstr>Policy Grids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Agarwal</dc:creator>
  <cp:lastModifiedBy>Minal Agarwal</cp:lastModifiedBy>
  <dcterms:created xsi:type="dcterms:W3CDTF">2026-05-18T19:44:34Z</dcterms:created>
  <dcterms:modified xsi:type="dcterms:W3CDTF">2026-05-18T19:44:35Z</dcterms:modified>
</cp:coreProperties>
</file>