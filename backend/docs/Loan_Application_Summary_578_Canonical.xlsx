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ummary" state="visible" r:id="rId4"/>
    <sheet sheetId="8" name="Bank Statement Analysis" state="visible" r:id="rId5"/>
    <sheet sheetId="3" name="ITR Analysis" state="visible" r:id="rId6"/>
    <sheet sheetId="4" name="GST Analysis" state="visible" r:id="rId7"/>
    <sheet sheetId="5" name="Cibil - Transunion" state="visible" r:id="rId8"/>
  </sheets>
  <definedNames>
    <definedName name="_xlnm.Print_Titles" localSheetId="0">'Summary'!$1:$4</definedName>
    <definedName name="_xlnm.Print_Titles" localSheetId="1">'Bank Statement Analysis'!$1:$4</definedName>
    <definedName name="_xlnm.Print_Titles" localSheetId="2">'ITR Analysis'!$1:$4</definedName>
    <definedName name="_xlnm.Print_Titles" localSheetId="3">'GST Analysis'!$1:$4</definedName>
    <definedName name="_xlnm.Print_Titles" localSheetId="4">'Cibil - Transunion'!$1:$4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/>
    </comment>
    <comment ref="B2" authorId="0">
      <text/>
    </comment>
    <comment ref="C2" authorId="0">
      <text/>
    </comment>
    <comment ref="D2" authorId="0">
      <text/>
    </comment>
    <comment ref="E2" authorId="0">
      <text/>
    </comment>
    <comment ref="F2" authorId="0">
      <text/>
    </comment>
    <comment ref="G2" authorId="0">
      <text/>
    </comment>
    <comment ref="A3" authorId="0">
      <text/>
    </comment>
    <comment ref="B3" authorId="0">
      <text/>
    </comment>
    <comment ref="C3" authorId="0">
      <text/>
    </comment>
    <comment ref="D3" authorId="0">
      <text/>
    </comment>
    <comment ref="E3" authorId="0">
      <text/>
    </comment>
    <comment ref="F3" authorId="0">
      <text/>
    </comment>
    <comment ref="G3" authorId="0">
      <text/>
    </comment>
    <comment ref="A4" authorId="0">
      <text/>
    </comment>
    <comment ref="B4" authorId="0">
      <text/>
    </comment>
    <comment ref="C4" authorId="0">
      <text/>
    </comment>
    <comment ref="D4" authorId="0">
      <text/>
    </comment>
    <comment ref="E4" authorId="0">
      <text/>
    </comment>
    <comment ref="F4" authorId="0">
      <text/>
    </comment>
    <comment ref="G4" authorId="0">
      <text/>
    </comment>
    <comment ref="A5" authorId="0">
      <text/>
    </comment>
    <comment ref="B5" authorId="0">
      <text/>
    </comment>
    <comment ref="C5" authorId="0">
      <text/>
    </comment>
    <comment ref="D5" authorId="0">
      <text/>
    </comment>
    <comment ref="E5" authorId="0">
      <text/>
    </comment>
    <comment ref="F5" authorId="0">
      <text/>
    </comment>
    <comment ref="G5" authorId="0">
      <text/>
    </comment>
    <comment ref="A6" authorId="0">
      <text/>
    </comment>
    <comment ref="B6" authorId="0">
      <text/>
    </comment>
    <comment ref="C6" authorId="0">
      <text/>
    </comment>
    <comment ref="D6" authorId="0">
      <text/>
    </comment>
    <comment ref="E6" authorId="0">
      <text/>
    </comment>
    <comment ref="F6" authorId="0">
      <text/>
    </comment>
    <comment ref="G6" authorId="0">
      <text/>
    </comment>
    <comment ref="A7" authorId="0">
      <text/>
    </comment>
    <comment ref="B7" authorId="0">
      <text/>
    </comment>
    <comment ref="C7" authorId="0">
      <text/>
    </comment>
    <comment ref="D7" authorId="0">
      <text/>
    </comment>
    <comment ref="E7" authorId="0">
      <text/>
    </comment>
    <comment ref="F7" authorId="0">
      <text/>
    </comment>
    <comment ref="G7" authorId="0">
      <text/>
    </comment>
    <comment ref="A8" authorId="0">
      <text/>
    </comment>
    <comment ref="B8" authorId="0">
      <text/>
    </comment>
    <comment ref="C8" authorId="0">
      <text/>
    </comment>
    <comment ref="D8" authorId="0">
      <text/>
    </comment>
    <comment ref="E8" authorId="0">
      <text/>
    </comment>
    <comment ref="F8" authorId="0">
      <text/>
    </comment>
    <comment ref="G8" authorId="0">
      <text/>
    </comment>
    <comment ref="A9" authorId="0">
      <text/>
    </comment>
    <comment ref="B9" authorId="0">
      <text/>
    </comment>
    <comment ref="C9" authorId="0">
      <text/>
    </comment>
    <comment ref="D9" authorId="0">
      <text/>
    </comment>
    <comment ref="E9" authorId="0">
      <text/>
    </comment>
    <comment ref="F9" authorId="0">
      <text/>
    </comment>
    <comment ref="G9" authorId="0">
      <text/>
    </comment>
    <comment ref="A10" authorId="0">
      <text/>
    </comment>
    <comment ref="B10" authorId="0">
      <text/>
    </comment>
    <comment ref="C10" authorId="0">
      <text/>
    </comment>
    <comment ref="D10" authorId="0">
      <text/>
    </comment>
    <comment ref="E10" authorId="0">
      <text/>
    </comment>
    <comment ref="F10" authorId="0">
      <text/>
    </comment>
    <comment ref="G10" authorId="0">
      <text/>
    </comment>
    <comment ref="A11" authorId="0">
      <text/>
    </comment>
    <comment ref="B11" authorId="0">
      <text/>
    </comment>
    <comment ref="C11" authorId="0">
      <text/>
    </comment>
    <comment ref="D11" authorId="0">
      <text/>
    </comment>
    <comment ref="E11" authorId="0">
      <text/>
    </comment>
    <comment ref="F11" authorId="0">
      <text/>
    </comment>
    <comment ref="G11" authorId="0">
      <text/>
    </comment>
    <comment ref="A12" authorId="0">
      <text/>
    </comment>
    <comment ref="B12" authorId="0">
      <text/>
    </comment>
    <comment ref="C12" authorId="0">
      <text/>
    </comment>
    <comment ref="D12" authorId="0">
      <text/>
    </comment>
    <comment ref="E12" authorId="0">
      <text/>
    </comment>
    <comment ref="F12" authorId="0">
      <text/>
    </comment>
    <comment ref="G12" authorId="0">
      <text/>
    </comment>
    <comment ref="A13" authorId="0">
      <text/>
    </comment>
    <comment ref="B13" authorId="0">
      <text/>
    </comment>
    <comment ref="C13" authorId="0">
      <text/>
    </comment>
    <comment ref="D13" authorId="0">
      <text/>
    </comment>
    <comment ref="E13" authorId="0">
      <text/>
    </comment>
    <comment ref="F13" authorId="0">
      <text/>
    </comment>
    <comment ref="G13" authorId="0">
      <text/>
    </comment>
    <comment ref="A14" authorId="0">
      <text/>
    </comment>
    <comment ref="B14" authorId="0">
      <text/>
    </comment>
    <comment ref="C14" authorId="0">
      <text/>
    </comment>
    <comment ref="D14" authorId="0">
      <text/>
    </comment>
    <comment ref="E14" authorId="0">
      <text/>
    </comment>
    <comment ref="F14" authorId="0">
      <text/>
    </comment>
    <comment ref="G14" authorId="0">
      <text/>
    </comment>
    <comment ref="A15" authorId="0">
      <text/>
    </comment>
    <comment ref="B15" authorId="0">
      <text/>
    </comment>
    <comment ref="C15" authorId="0">
      <text/>
    </comment>
    <comment ref="D15" authorId="0">
      <text/>
    </comment>
    <comment ref="E15" authorId="0">
      <text/>
    </comment>
    <comment ref="F15" authorId="0">
      <text/>
    </comment>
    <comment ref="G15" authorId="0">
      <text/>
    </comment>
    <comment ref="A16" authorId="0">
      <text/>
    </comment>
    <comment ref="B16" authorId="0">
      <text/>
    </comment>
    <comment ref="C16" authorId="0">
      <text/>
    </comment>
    <comment ref="D16" authorId="0">
      <text/>
    </comment>
    <comment ref="E16" authorId="0">
      <text/>
    </comment>
    <comment ref="F16" authorId="0">
      <text/>
    </comment>
    <comment ref="G16" authorId="0">
      <text/>
    </comment>
    <comment ref="A17" authorId="0">
      <text/>
    </comment>
    <comment ref="B17" authorId="0">
      <text/>
    </comment>
    <comment ref="C17" authorId="0">
      <text/>
    </comment>
    <comment ref="D17" authorId="0">
      <text/>
    </comment>
    <comment ref="E17" authorId="0">
      <text/>
    </comment>
    <comment ref="F17" authorId="0">
      <text/>
    </comment>
    <comment ref="G17" authorId="0">
      <text/>
    </comment>
    <comment ref="A18" authorId="0">
      <text/>
    </comment>
    <comment ref="B18" authorId="0">
      <text>
        <r>
          <t xml:space="preserve">Source: case_property_details #561
Applicant: 780
Path: market_value
Timestamp: Sat Jul 18 2026 21:27:21 GMT+0530 (India Standard Time)</t>
        </r>
      </text>
    </comment>
    <comment ref="C18" authorId="0">
      <text/>
    </comment>
    <comment ref="D18" authorId="0">
      <text/>
    </comment>
    <comment ref="E18" authorId="0">
      <text/>
    </comment>
    <comment ref="F18" authorId="0">
      <text/>
    </comment>
    <comment ref="G18" authorId="0">
      <text/>
    </comment>
    <comment ref="A19" authorId="0">
      <text/>
    </comment>
    <comment ref="B19" authorId="0">
      <text/>
    </comment>
    <comment ref="C19" authorId="0">
      <text/>
    </comment>
    <comment ref="D19" authorId="0">
      <text/>
    </comment>
    <comment ref="E19" authorId="0">
      <text/>
    </comment>
    <comment ref="F19" authorId="0">
      <text/>
    </comment>
    <comment ref="G19" authorId="0">
      <text/>
    </comment>
    <comment ref="A20" authorId="0">
      <text/>
    </comment>
    <comment ref="B20" authorId="0">
      <text/>
    </comment>
    <comment ref="C20" authorId="0">
      <text/>
    </comment>
    <comment ref="D20" authorId="0">
      <text/>
    </comment>
    <comment ref="E20" authorId="0">
      <text/>
    </comment>
    <comment ref="F20" authorId="0">
      <text/>
    </comment>
    <comment ref="G20" authorId="0">
      <text/>
    </comment>
    <comment ref="A21" authorId="0">
      <text/>
    </comment>
    <comment ref="B21" authorId="0">
      <text/>
    </comment>
    <comment ref="C21" authorId="0">
      <text/>
    </comment>
    <comment ref="D21" authorId="0">
      <text/>
    </comment>
    <comment ref="E21" authorId="0">
      <text/>
    </comment>
    <comment ref="F21" authorId="0">
      <text/>
    </comment>
    <comment ref="G21" authorId="0">
      <text/>
    </comment>
    <comment ref="A22" authorId="0">
      <text/>
    </comment>
    <comment ref="B22" authorId="0">
      <text/>
    </comment>
    <comment ref="C22" authorId="0">
      <text/>
    </comment>
    <comment ref="D22" authorId="0">
      <text/>
    </comment>
    <comment ref="E22" authorId="0">
      <text/>
    </comment>
    <comment ref="F22" authorId="0">
      <text/>
    </comment>
    <comment ref="G22" authorId="0">
      <text/>
    </comment>
    <comment ref="A23" authorId="0">
      <text/>
    </comment>
    <comment ref="B23" authorId="0">
      <text/>
    </comment>
    <comment ref="C23" authorId="0">
      <text/>
    </comment>
    <comment ref="D23" authorId="0">
      <text/>
    </comment>
    <comment ref="E23" authorId="0">
      <text/>
    </comment>
    <comment ref="F23" authorId="0">
      <text/>
    </comment>
    <comment ref="G23" authorId="0">
      <text/>
    </comment>
    <comment ref="A24" authorId="0">
      <text/>
    </comment>
    <comment ref="B24" authorId="0">
      <text/>
    </comment>
    <comment ref="C24" authorId="0">
      <text/>
    </comment>
    <comment ref="D24" authorId="0">
      <text/>
    </comment>
    <comment ref="E24" authorId="0">
      <text/>
    </comment>
    <comment ref="F24" authorId="0">
      <text/>
    </comment>
    <comment ref="G24" authorId="0">
      <text/>
    </comment>
    <comment ref="A25" authorId="0">
      <text/>
    </comment>
    <comment ref="B25" authorId="0">
      <text/>
    </comment>
    <comment ref="C25" authorId="0">
      <text/>
    </comment>
    <comment ref="D25" authorId="0">
      <text/>
    </comment>
    <comment ref="E25" authorId="0">
      <text/>
    </comment>
    <comment ref="F25" authorId="0">
      <text/>
    </comment>
    <comment ref="G25" authorId="0">
      <text/>
    </comment>
    <comment ref="A26" authorId="0">
      <text/>
    </comment>
    <comment ref="B26" authorId="0">
      <text>
        <r>
          <t xml:space="preserve">Source: itr_analytics_requests #33
Applicant: 780
Path: analytics_payload.profitAfterTax
Timestamp: Sun Jun 28 2026 21:29:54 GMT+0530 (India Standard Time)</t>
        </r>
      </text>
    </comment>
    <comment ref="C26" authorId="0">
      <text/>
    </comment>
    <comment ref="D26" authorId="0">
      <text/>
    </comment>
    <comment ref="E26" authorId="0">
      <text/>
    </comment>
    <comment ref="F26" authorId="0">
      <text/>
    </comment>
    <comment ref="G26" authorId="0">
      <text/>
    </comment>
    <comment ref="A27" authorId="0">
      <text/>
    </comment>
    <comment ref="B27" authorId="0">
      <text>
        <r>
          <t xml:space="preserve">Source: itr_analytics_requests #33
Applicant: 780
Path: analytics_payload.depreciation
Timestamp: Sun Jun 28 2026 21:29:54 GMT+0530 (India Standard Time)</t>
        </r>
      </text>
    </comment>
    <comment ref="C27" authorId="0">
      <text/>
    </comment>
    <comment ref="D27" authorId="0">
      <text/>
    </comment>
    <comment ref="E27" authorId="0">
      <text/>
    </comment>
    <comment ref="F27" authorId="0">
      <text/>
    </comment>
    <comment ref="G27" authorId="0">
      <text/>
    </comment>
    <comment ref="A28" authorId="0">
      <text/>
    </comment>
    <comment ref="B28" authorId="0">
      <text/>
    </comment>
    <comment ref="C28" authorId="0">
      <text/>
    </comment>
    <comment ref="D28" authorId="0">
      <text/>
    </comment>
    <comment ref="E28" authorId="0">
      <text/>
    </comment>
    <comment ref="F28" authorId="0">
      <text/>
    </comment>
    <comment ref="G28" authorId="0">
      <text/>
    </comment>
    <comment ref="A29" authorId="0">
      <text/>
    </comment>
    <comment ref="B29" authorId="0">
      <text/>
    </comment>
    <comment ref="C29" authorId="0">
      <text/>
    </comment>
    <comment ref="D29" authorId="0">
      <text/>
    </comment>
    <comment ref="E29" authorId="0">
      <text/>
    </comment>
    <comment ref="F29" authorId="0">
      <text/>
    </comment>
    <comment ref="G29" authorId="0">
      <text/>
    </comment>
    <comment ref="A30" authorId="0">
      <text/>
    </comment>
    <comment ref="B30" authorId="0">
      <text>
        <r>
          <t xml:space="preserve">Source: gstr_analytics_requests #29
Applicant: 780
Path: raw_report_data
Timestamp: Sun Jun 28 2026 21:31:03 GMT+0530 (India Standard Time)</t>
        </r>
      </text>
    </comment>
    <comment ref="C30" authorId="0">
      <text/>
    </comment>
    <comment ref="D30" authorId="0">
      <text/>
    </comment>
    <comment ref="E30" authorId="0">
      <text/>
    </comment>
    <comment ref="F30" authorId="0">
      <text/>
    </comment>
    <comment ref="G30" authorId="0">
      <text/>
    </comment>
    <comment ref="A31" authorId="0">
      <text/>
    </comment>
    <comment ref="B31" authorId="0">
      <text/>
    </comment>
    <comment ref="C31" authorId="0">
      <text/>
    </comment>
    <comment ref="D31" authorId="0">
      <text/>
    </comment>
    <comment ref="E31" authorId="0">
      <text>
        <r>
          <t xml:space="preserve">Source: gstr_analytics_requests #29
Applicant: 780
Path: raw_report_data
Timestamp: Sun Jun 28 2026 21:31:03 GMT+0530 (India Standard Time)</t>
        </r>
      </text>
    </comment>
    <comment ref="F31" authorId="0">
      <text/>
    </comment>
    <comment ref="G31" authorId="0">
      <text/>
    </comment>
    <comment ref="A32" authorId="0">
      <text/>
    </comment>
    <comment ref="B32" authorId="0">
      <text/>
    </comment>
    <comment ref="C32" authorId="0">
      <text/>
    </comment>
    <comment ref="D32" authorId="0">
      <text/>
    </comment>
    <comment ref="E32" authorId="0">
      <text/>
    </comment>
    <comment ref="F32" authorId="0">
      <text/>
    </comment>
    <comment ref="G32" authorId="0">
      <text/>
    </comment>
    <comment ref="A33" authorId="0">
      <text/>
    </comment>
    <comment ref="B33" authorId="0">
      <text>
        <r>
          <t xml:space="preserve">Source: bank_statement_analysis_requests #23
Applicant: 780
Path: raw_retrieve_response
Timestamp: Sat Jul 18 2026 21:27:26 GMT+0530 (India Standard Time)</t>
        </r>
      </text>
    </comment>
    <comment ref="C33" authorId="0">
      <text/>
    </comment>
    <comment ref="D33" authorId="0">
      <text/>
    </comment>
    <comment ref="E33" authorId="0">
      <text/>
    </comment>
    <comment ref="F33" authorId="0">
      <text/>
    </comment>
    <comment ref="G33" authorId="0">
      <text/>
    </comment>
    <comment ref="A34" authorId="0">
      <text/>
    </comment>
    <comment ref="B34" authorId="0">
      <text>
        <r>
          <t xml:space="preserve">Source: bank_statement_analysis_requests #23
Applicant: 780
Path: raw_retrieve_response
Timestamp: Sat Jul 18 2026 21:27:26 GMT+0530 (India Standard Time)</t>
        </r>
      </text>
    </comment>
    <comment ref="C34" authorId="0">
      <text/>
    </comment>
    <comment ref="D34" authorId="0">
      <text/>
    </comment>
    <comment ref="E34" authorId="0">
      <text/>
    </comment>
    <comment ref="F34" authorId="0">
      <text/>
    </comment>
    <comment ref="G34" authorId="0">
      <text/>
    </comment>
    <comment ref="A35" authorId="0">
      <text/>
    </comment>
    <comment ref="B35" authorId="0">
      <text/>
    </comment>
    <comment ref="C35" authorId="0">
      <text/>
    </comment>
    <comment ref="D35" authorId="0">
      <text/>
    </comment>
    <comment ref="E35" authorId="0">
      <text/>
    </comment>
    <comment ref="F35" authorId="0">
      <text/>
    </comment>
    <comment ref="G35" authorId="0">
      <text/>
    </comment>
    <comment ref="A36" authorId="0">
      <text/>
    </comment>
    <comment ref="B36" authorId="0">
      <text/>
    </comment>
    <comment ref="C36" authorId="0">
      <text/>
    </comment>
    <comment ref="D36" authorId="0">
      <text/>
    </comment>
    <comment ref="E36" authorId="0">
      <text/>
    </comment>
    <comment ref="F36" authorId="0">
      <text/>
    </comment>
    <comment ref="G36" authorId="0">
      <text/>
    </comment>
    <comment ref="A37" authorId="0">
      <text/>
    </comment>
    <comment ref="B37" authorId="0">
      <text/>
    </comment>
    <comment ref="C37" authorId="0">
      <text/>
    </comment>
    <comment ref="D37" authorId="0">
      <text/>
    </comment>
    <comment ref="E37" authorId="0">
      <text/>
    </comment>
    <comment ref="F37" authorId="0">
      <text/>
    </comment>
    <comment ref="G37" authorId="0">
      <text/>
    </comment>
    <comment ref="A38" authorId="0">
      <text/>
    </comment>
    <comment ref="B38" authorId="0">
      <text/>
    </comment>
    <comment ref="C38" authorId="0">
      <text/>
    </comment>
    <comment ref="D38" authorId="0">
      <text/>
    </comment>
    <comment ref="E38" authorId="0">
      <text/>
    </comment>
    <comment ref="F38" authorId="0">
      <text>
        <r>
          <t xml:space="preserve">Source: salary_slip_ocr_results #59
Applicant: 781
Path: latest completed net_salary per applicant (sum)
Timestamp: Sun Jul 05 2026 11:14:50 GMT+0530 (India Standard Time)</t>
        </r>
      </text>
    </comment>
    <comment ref="G38" authorId="0">
      <text/>
    </comment>
    <comment ref="A39" authorId="0">
      <text/>
    </comment>
    <comment ref="B39" authorId="0">
      <text/>
    </comment>
    <comment ref="C39" authorId="0">
      <text/>
    </comment>
    <comment ref="D39" authorId="0">
      <text/>
    </comment>
    <comment ref="E39" authorId="0">
      <text/>
    </comment>
    <comment ref="F39" authorId="0">
      <text/>
    </comment>
    <comment ref="G39" authorId="0">
      <text/>
    </comment>
    <comment ref="A40" authorId="0">
      <text/>
    </comment>
    <comment ref="B40" authorId="0">
      <text/>
    </comment>
    <comment ref="C40" authorId="0">
      <text/>
    </comment>
    <comment ref="D40" authorId="0">
      <text/>
    </comment>
    <comment ref="E40" authorId="0">
      <text/>
    </comment>
    <comment ref="F40" authorId="0">
      <text/>
    </comment>
    <comment ref="G40" authorId="0">
      <text/>
    </comment>
    <comment ref="A41" authorId="0">
      <text/>
    </comment>
    <comment ref="B41" authorId="0">
      <text/>
    </comment>
    <comment ref="C41" authorId="0">
      <text/>
    </comment>
    <comment ref="D41" authorId="0">
      <text/>
    </comment>
    <comment ref="E41" authorId="0">
      <text/>
    </comment>
    <comment ref="F41" authorId="0">
      <text/>
    </comment>
    <comment ref="G41" authorId="0">
      <text/>
    </comment>
    <comment ref="A42" authorId="0">
      <text/>
    </comment>
    <comment ref="B42" authorId="0">
      <text/>
    </comment>
    <comment ref="C42" authorId="0">
      <text/>
    </comment>
    <comment ref="D42" authorId="0">
      <text/>
    </comment>
    <comment ref="E42" authorId="0">
      <text/>
    </comment>
    <comment ref="F42" authorId="0">
      <text/>
    </comment>
    <comment ref="G42" authorId="0">
      <text/>
    </comment>
    <comment ref="A43" authorId="0">
      <text/>
    </comment>
    <comment ref="B43" authorId="0">
      <text/>
    </comment>
    <comment ref="C43" authorId="0">
      <text/>
    </comment>
    <comment ref="D43" authorId="0">
      <text/>
    </comment>
    <comment ref="E43" authorId="0">
      <text/>
    </comment>
    <comment ref="F43" authorId="0">
      <text/>
    </comment>
    <comment ref="G43" authorId="0">
      <text/>
    </comment>
    <comment ref="A44" authorId="0">
      <text/>
    </comment>
    <comment ref="B44" authorId="0">
      <text/>
    </comment>
    <comment ref="C44" authorId="0">
      <text/>
    </comment>
    <comment ref="D44" authorId="0">
      <text/>
    </comment>
    <comment ref="E44" authorId="0">
      <text/>
    </comment>
    <comment ref="F44" authorId="0">
      <text/>
    </comment>
    <comment ref="G44" authorId="0">
      <text/>
    </comment>
    <comment ref="A45" authorId="0">
      <text/>
    </comment>
    <comment ref="B45" authorId="0">
      <text/>
    </comment>
    <comment ref="C45" authorId="0">
      <text/>
    </comment>
    <comment ref="D45" authorId="0">
      <text/>
    </comment>
    <comment ref="E45" authorId="0">
      <text/>
    </comment>
    <comment ref="F45" authorId="0">
      <text/>
    </comment>
    <comment ref="G45" authorId="0">
      <text/>
    </comment>
    <comment ref="A46" authorId="0">
      <text/>
    </comment>
    <comment ref="B46" authorId="0">
      <text/>
    </comment>
    <comment ref="C46" authorId="0">
      <text/>
    </comment>
    <comment ref="D46" authorId="0">
      <text/>
    </comment>
    <comment ref="E46" authorId="0">
      <text/>
    </comment>
    <comment ref="F46" authorId="0">
      <text/>
    </comment>
    <comment ref="G46" authorId="0">
      <text/>
    </comment>
    <comment ref="A47" authorId="0">
      <text/>
    </comment>
    <comment ref="B47" authorId="0">
      <text/>
    </comment>
    <comment ref="C47" authorId="0">
      <text/>
    </comment>
    <comment ref="D47" authorId="0">
      <text/>
    </comment>
    <comment ref="E47" authorId="0">
      <text/>
    </comment>
    <comment ref="F47" authorId="0">
      <text/>
    </comment>
    <comment ref="G47" authorId="0">
      <text/>
    </comment>
    <comment ref="A48" authorId="0">
      <text/>
    </comment>
    <comment ref="B48" authorId="0">
      <text/>
    </comment>
    <comment ref="C48" authorId="0">
      <text/>
    </comment>
    <comment ref="D48" authorId="0">
      <text/>
    </comment>
    <comment ref="E48" authorId="0">
      <text/>
    </comment>
    <comment ref="F48" authorId="0">
      <text/>
    </comment>
    <comment ref="G48" authorId="0">
      <text/>
    </comment>
    <comment ref="A49" authorId="0">
      <text/>
    </comment>
    <comment ref="B49" authorId="0">
      <text/>
    </comment>
    <comment ref="C49" authorId="0">
      <text/>
    </comment>
    <comment ref="D49" authorId="0">
      <text/>
    </comment>
    <comment ref="E49" authorId="0">
      <text/>
    </comment>
    <comment ref="F49" authorId="0">
      <text/>
    </comment>
    <comment ref="G49" authorId="0">
      <text/>
    </comment>
    <comment ref="A50" authorId="0">
      <text/>
    </comment>
    <comment ref="B50" authorId="0">
      <text/>
    </comment>
    <comment ref="C50" authorId="0">
      <text/>
    </comment>
    <comment ref="D50" authorId="0">
      <text/>
    </comment>
    <comment ref="E50" authorId="0">
      <text/>
    </comment>
    <comment ref="F50" authorId="0">
      <text/>
    </comment>
    <comment ref="G50" authorId="0">
      <text/>
    </comment>
    <comment ref="A51" authorId="0">
      <text/>
    </comment>
    <comment ref="B51" authorId="0">
      <text/>
    </comment>
    <comment ref="C51" authorId="0">
      <text/>
    </comment>
    <comment ref="D51" authorId="0">
      <text/>
    </comment>
    <comment ref="E51" authorId="0">
      <text/>
    </comment>
    <comment ref="F51" authorId="0">
      <text/>
    </comment>
    <comment ref="G51" authorId="0">
      <text/>
    </comment>
    <comment ref="A52" authorId="0">
      <text/>
    </comment>
    <comment ref="B52" authorId="0">
      <text/>
    </comment>
    <comment ref="C52" authorId="0">
      <text/>
    </comment>
    <comment ref="D52" authorId="0">
      <text/>
    </comment>
    <comment ref="E52" authorId="0">
      <text/>
    </comment>
    <comment ref="F52" authorId="0">
      <text/>
    </comment>
    <comment ref="G52" authorId="0">
      <text/>
    </comment>
    <comment ref="A53" authorId="0">
      <text/>
    </comment>
    <comment ref="B53" authorId="0">
      <text/>
    </comment>
    <comment ref="C53" authorId="0">
      <text/>
    </comment>
    <comment ref="D53" authorId="0">
      <text/>
    </comment>
    <comment ref="E53" authorId="0">
      <text/>
    </comment>
    <comment ref="F53" authorId="0">
      <text/>
    </comment>
    <comment ref="G53" authorId="0">
      <text/>
    </comment>
    <comment ref="A54" authorId="0">
      <text/>
    </comment>
    <comment ref="B54" authorId="0">
      <text/>
    </comment>
    <comment ref="C54" authorId="0">
      <text/>
    </comment>
    <comment ref="D54" authorId="0">
      <text/>
    </comment>
    <comment ref="E54" authorId="0">
      <text/>
    </comment>
    <comment ref="F54" authorId="0">
      <text/>
    </comment>
    <comment ref="G54" authorId="0">
      <text/>
    </comment>
    <comment ref="A55" authorId="0">
      <text/>
    </comment>
    <comment ref="B55" authorId="0">
      <text/>
    </comment>
    <comment ref="C55" authorId="0">
      <text/>
    </comment>
    <comment ref="D55" authorId="0">
      <text/>
    </comment>
    <comment ref="E55" authorId="0">
      <text/>
    </comment>
    <comment ref="F55" authorId="0">
      <text/>
    </comment>
    <comment ref="G55" authorId="0">
      <text/>
    </comment>
    <comment ref="A56" authorId="0">
      <text/>
    </comment>
    <comment ref="B56" authorId="0">
      <text/>
    </comment>
    <comment ref="C56" authorId="0">
      <text/>
    </comment>
    <comment ref="D56" authorId="0">
      <text/>
    </comment>
    <comment ref="E56" authorId="0">
      <text/>
    </comment>
    <comment ref="F56" authorId="0">
      <text/>
    </comment>
    <comment ref="G56" authorId="0">
      <text/>
    </comment>
    <comment ref="A57" authorId="0">
      <text/>
    </comment>
    <comment ref="B57" authorId="0">
      <text/>
    </comment>
    <comment ref="C57" authorId="0">
      <text/>
    </comment>
    <comment ref="D57" authorId="0">
      <text/>
    </comment>
    <comment ref="E57" authorId="0">
      <text/>
    </comment>
    <comment ref="F57" authorId="0">
      <text/>
    </comment>
    <comment ref="G57" authorId="0">
      <text/>
    </comment>
    <comment ref="A58" authorId="0">
      <text/>
    </comment>
    <comment ref="B58" authorId="0">
      <text/>
    </comment>
    <comment ref="C58" authorId="0">
      <text/>
    </comment>
    <comment ref="D58" authorId="0">
      <text/>
    </comment>
    <comment ref="E58" authorId="0">
      <text/>
    </comment>
    <comment ref="F58" authorId="0">
      <text/>
    </comment>
    <comment ref="G58" authorId="0">
      <text/>
    </comment>
    <comment ref="A59" authorId="0">
      <text/>
    </comment>
    <comment ref="B59" authorId="0">
      <text/>
    </comment>
    <comment ref="C59" authorId="0">
      <text/>
    </comment>
    <comment ref="D59" authorId="0">
      <text/>
    </comment>
    <comment ref="E59" authorId="0">
      <text/>
    </comment>
    <comment ref="F59" authorId="0">
      <text/>
    </comment>
    <comment ref="G59" authorId="0">
      <text/>
    </comment>
    <comment ref="A60" authorId="0">
      <text/>
    </comment>
    <comment ref="B60" authorId="0">
      <text/>
    </comment>
    <comment ref="C60" authorId="0">
      <text/>
    </comment>
    <comment ref="D60" authorId="0">
      <text/>
    </comment>
    <comment ref="E60" authorId="0">
      <text/>
    </comment>
    <comment ref="F60" authorId="0">
      <text/>
    </comment>
    <comment ref="G60" authorId="0">
      <text/>
    </comment>
  </commentList>
</comments>
</file>

<file path=xl/sharedStrings.xml><?xml version="1.0" encoding="utf-8"?>
<sst xmlns="http://schemas.openxmlformats.org/spreadsheetml/2006/main" count="1194" uniqueCount="537">
  <si>
    <t>LOAN APPLICATION SUMMARY</t>
  </si>
  <si>
    <t>Case Ref</t>
  </si>
  <si>
    <t>CASE-578</t>
  </si>
  <si>
    <t>Required Amount</t>
  </si>
  <si>
    <t/>
  </si>
  <si>
    <t>Customer</t>
  </si>
  <si>
    <t>SUNIL KUMAR AGARWAL</t>
  </si>
  <si>
    <t>Product</t>
  </si>
  <si>
    <t>LAP</t>
  </si>
  <si>
    <t>DSA / Source</t>
  </si>
  <si>
    <t>Prakhar Jain</t>
  </si>
  <si>
    <t>Prepared On</t>
  </si>
  <si>
    <t>20 Jul 2026</t>
  </si>
  <si>
    <t>ESR v333</t>
  </si>
  <si>
    <t>1. APPLICANT / BORROWER DETAILS</t>
  </si>
  <si>
    <t>Party</t>
  </si>
  <si>
    <t>Name / Entity</t>
  </si>
  <si>
    <t>Role / Relationship</t>
  </si>
  <si>
    <t>PAN</t>
  </si>
  <si>
    <t>GSTIN / DIN</t>
  </si>
  <si>
    <t>Contact Details</t>
  </si>
  <si>
    <t>Address</t>
  </si>
  <si>
    <t>Applicant / Business</t>
  </si>
  <si>
    <t>Primary Borrower</t>
  </si>
  <si>
    <t>ADKPA9468M</t>
  </si>
  <si>
    <t>29ADKPA9468M1ZS</t>
  </si>
  <si>
    <t xml:space="preserve">Mobile: 9008122242
Email: sunil@cred2tech.com</t>
  </si>
  <si>
    <t>Promoter / Contact Person</t>
  </si>
  <si>
    <t>NA</t>
  </si>
  <si>
    <t>Co-Applicant 1</t>
  </si>
  <si>
    <t>THOMAS MULLORPEEDIKAYIL BOBBY</t>
  </si>
  <si>
    <t>SALARIED</t>
  </si>
  <si>
    <t>AIZPB0687M</t>
  </si>
  <si>
    <t xml:space="preserve">Mobile: 9886349077
Email: bobby@cred2tech.com</t>
  </si>
  <si>
    <t>2. LOAN REQUIREMENT &amp; COLLATERAL</t>
  </si>
  <si>
    <t>Parameter</t>
  </si>
  <si>
    <t>Details</t>
  </si>
  <si>
    <t>Loan Amount Required</t>
  </si>
  <si>
    <t>Tenure Required</t>
  </si>
  <si>
    <t>Ownership</t>
  </si>
  <si>
    <t>Sole Owner</t>
  </si>
  <si>
    <t>Property Type</t>
  </si>
  <si>
    <t>Residential — House / Flat</t>
  </si>
  <si>
    <t>Occupancy</t>
  </si>
  <si>
    <t>Rented Out</t>
  </si>
  <si>
    <t>Property Market Value</t>
  </si>
  <si>
    <t>Property Address</t>
  </si>
  <si>
    <t>BUREAU DETAILS</t>
  </si>
  <si>
    <t>Bureau Details</t>
  </si>
  <si>
    <t>CIBIL Score</t>
  </si>
  <si>
    <t>3. FINANCIAL &amp; CREDIT SNAPSHOT</t>
  </si>
  <si>
    <t>Key Financials / Income Parameters</t>
  </si>
  <si>
    <t>FY 2025-26</t>
  </si>
  <si>
    <t>FY 2024-25</t>
  </si>
  <si>
    <t>FY 2023-24</t>
  </si>
  <si>
    <t>Last 12 Months</t>
  </si>
  <si>
    <t>Monthly</t>
  </si>
  <si>
    <t>Net Profit After Tax</t>
  </si>
  <si>
    <t>Depreciation</t>
  </si>
  <si>
    <t>Interest on Loan</t>
  </si>
  <si>
    <t>Director Remuneration / Partner Salary</t>
  </si>
  <si>
    <t>Annual Sales as per GSTR</t>
  </si>
  <si>
    <t>Last 12 Month Sales as per GSTR</t>
  </si>
  <si>
    <t>Turnover / Receipt as per ITR/P&amp;L</t>
  </si>
  <si>
    <t>Annual Business Receipt as per Banking (12 mo)</t>
  </si>
  <si>
    <t>Average Bank Balance</t>
  </si>
  <si>
    <t>Monthly Rental Income — Bank Credit</t>
  </si>
  <si>
    <t>Monthly Rental Income — Cash Rental</t>
  </si>
  <si>
    <t>Annual Agricultural Income as per ITR</t>
  </si>
  <si>
    <t>Salary Income — As per Pay Slip</t>
  </si>
  <si>
    <t>Incentive Income — Variable</t>
  </si>
  <si>
    <t>Bonus Income — Variable</t>
  </si>
  <si>
    <t>ELIGIBILITY / SANCTION SUMMARY</t>
  </si>
  <si>
    <t>ICICI Bank</t>
  </si>
  <si>
    <t>GRP</t>
  </si>
  <si>
    <t>180 Months</t>
  </si>
  <si>
    <t>N/A</t>
  </si>
  <si>
    <t>KYC DOCUMENT STATUS</t>
  </si>
  <si>
    <t>Document</t>
  </si>
  <si>
    <t>For Whom / Related To</t>
  </si>
  <si>
    <t>Status</t>
  </si>
  <si>
    <t>PAN Card</t>
  </si>
  <si>
    <t>Primary / SUNIL KUMAR AGARWAL</t>
  </si>
  <si>
    <t>Pending</t>
  </si>
  <si>
    <t>Aadhaar</t>
  </si>
  <si>
    <t>Co-Borrower 1 / THOMAS MULLORPEEDIKAYIL BOBBY</t>
  </si>
  <si>
    <t>GST Registration Certificate</t>
  </si>
  <si>
    <t>Borrower business</t>
  </si>
  <si>
    <t>Partnership Deed / MOA</t>
  </si>
  <si>
    <t>PROPERTY DOCUMENT STATUS</t>
  </si>
  <si>
    <t>Sale Deed / Title Deed</t>
  </si>
  <si>
    <t>Collateral property</t>
  </si>
  <si>
    <t>Property Tax Receipt</t>
  </si>
  <si>
    <t>Encumbrance Certificate</t>
  </si>
  <si>
    <t>Approved Building Plan</t>
  </si>
  <si>
    <t>Borrower Photograph</t>
  </si>
  <si>
    <t>Co-Applicant Photograph</t>
  </si>
  <si>
    <t>Property Photographs</t>
  </si>
  <si>
    <t>Business Premises Photos</t>
  </si>
  <si>
    <t>Business premises</t>
  </si>
  <si>
    <t>5. REFERENCES</t>
  </si>
  <si>
    <t>Reference</t>
  </si>
  <si>
    <t>Name</t>
  </si>
  <si>
    <t>Mobile</t>
  </si>
  <si>
    <t>Relationship</t>
  </si>
  <si>
    <t>Reference 1</t>
  </si>
  <si>
    <t>Reference 2</t>
  </si>
  <si>
    <t>BANK STATEMENT ANALYSIS</t>
  </si>
  <si>
    <t>Bank Accounts</t>
  </si>
  <si>
    <t>Description</t>
  </si>
  <si>
    <t>Account Holders</t>
  </si>
  <si>
    <t>Account Number</t>
  </si>
  <si>
    <t>Bank Name</t>
  </si>
  <si>
    <t>Account Type</t>
  </si>
  <si>
    <t>Email</t>
  </si>
  <si>
    <t>sunil@cred2tech.com</t>
  </si>
  <si>
    <t>Phone</t>
  </si>
  <si>
    <t>Statement From</t>
  </si>
  <si>
    <t>Statement To</t>
  </si>
  <si>
    <t>Txn End Date</t>
  </si>
  <si>
    <t>30/04/2024</t>
  </si>
  <si>
    <t>Monthly Banking Summary</t>
  </si>
  <si>
    <t>Monthwise details</t>
  </si>
  <si>
    <t>Particulars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</si>
  <si>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</si>
  <si>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</si>
  <si>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</si>
  <si>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</si>
  <si>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</si>
  <si>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</si>
  <si>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</si>
  <si>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</si>
  <si>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</si>
  <si>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</si>
  <si>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</si>
  <si>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</si>
  <si>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Total</t>
  </si>
  <si>
    <t>Score me linking - Sheet name</t>
  </si>
  <si>
    <t>Field name</t>
  </si>
  <si>
    <t>Opening Balance</t>
  </si>
  <si>
    <t>Cash Flow</t>
  </si>
  <si>
    <t>Add:Opening Balance</t>
  </si>
  <si>
    <t>Debit Txns(₹)</t>
  </si>
  <si>
    <t>Overview</t>
  </si>
  <si>
    <t>Net cash inflow</t>
  </si>
  <si>
    <t>Credit Txns(₹)</t>
  </si>
  <si>
    <t>Net cash outflow</t>
  </si>
  <si>
    <t>Closing Balance</t>
  </si>
  <si>
    <t>I/W Cheque Bounces: Insufficient Funds Count</t>
  </si>
  <si>
    <t>O/W Cheque Bounces</t>
  </si>
  <si>
    <t>Minimum Balance Charges</t>
  </si>
  <si>
    <t>Debit Txns Count</t>
  </si>
  <si>
    <t>Credit Txns Count</t>
  </si>
  <si>
    <t>Min Balance</t>
  </si>
  <si>
    <t>Max Balance</t>
  </si>
  <si>
    <t>Monthly Average Balance</t>
  </si>
  <si>
    <t>Cash Deposit(₹)</t>
  </si>
  <si>
    <t>Cash Withdrawal(₹)</t>
  </si>
  <si>
    <t>Loan Credit</t>
  </si>
  <si>
    <t>Cash Deposits Count</t>
  </si>
  <si>
    <t>Cash Withdrawals Count</t>
  </si>
  <si>
    <t>-</t>
  </si>
  <si>
    <t>Cheque Deposits Count</t>
  </si>
  <si>
    <t>Cheque Deposits(₹)</t>
  </si>
  <si>
    <t>Cheque Issues Count</t>
  </si>
  <si>
    <t>Cheque Issues(₹)</t>
  </si>
  <si>
    <t>Peak Utilization Limit</t>
  </si>
  <si>
    <t>Net Debit</t>
  </si>
  <si>
    <t>Net Credit</t>
  </si>
  <si>
    <t>Interest Paid</t>
  </si>
  <si>
    <t>Interest Received</t>
  </si>
  <si>
    <t>Min EOD Balance(₹)</t>
  </si>
  <si>
    <t>Max EOD Balance(₹)</t>
  </si>
  <si>
    <t>Average EOD Balance(₹)</t>
  </si>
  <si>
    <t>Self Withdrawal</t>
  </si>
  <si>
    <t>Self Deposit</t>
  </si>
  <si>
    <t>Net Debit Txns Count</t>
  </si>
  <si>
    <t>Net Credit Txns Count</t>
  </si>
  <si>
    <t>OD/CC Avg Utilization %</t>
  </si>
  <si>
    <t>Overdrawn Days</t>
  </si>
  <si>
    <t>NEFT Returns</t>
  </si>
  <si>
    <t>Sanction Limit</t>
  </si>
  <si>
    <t>Balance on 1st</t>
  </si>
  <si>
    <t>Balance on 14th</t>
  </si>
  <si>
    <t>Balance on 30th/Last Day</t>
  </si>
  <si>
    <t>ABB on 1st,14th, 30th/Last Day</t>
  </si>
  <si>
    <t>Daily Balance Change %</t>
  </si>
  <si>
    <t>1.03%</t>
  </si>
  <si>
    <t>1.12%</t>
  </si>
  <si>
    <t>0.28%</t>
  </si>
  <si>
    <t>0.36%</t>
  </si>
  <si>
    <t>0.59%</t>
  </si>
  <si>
    <t>2.17%</t>
  </si>
  <si>
    <t>3.08%</t>
  </si>
  <si>
    <t>0.38%</t>
  </si>
  <si>
    <t>4.14%</t>
  </si>
  <si>
    <t>0.39%</t>
  </si>
  <si>
    <t>3.09%</t>
  </si>
  <si>
    <t>0.61%</t>
  </si>
  <si>
    <t>1.44%</t>
  </si>
  <si>
    <t>ECS/NACH Issued Count</t>
  </si>
  <si>
    <t>ECS/NACH Issued</t>
  </si>
  <si>
    <t>EMI/ Loan Payments Count</t>
  </si>
  <si>
    <t>EMI/ Loan Payments</t>
  </si>
  <si>
    <t>Penalty Charges Count</t>
  </si>
  <si>
    <t>Penalty Charges</t>
  </si>
  <si>
    <t>Bank Charges Count</t>
  </si>
  <si>
    <t>Bank Charges</t>
  </si>
  <si>
    <t>ITR ANALYSIS</t>
  </si>
  <si>
    <t>ITR Type</t>
  </si>
  <si>
    <t>ITR-3</t>
  </si>
  <si>
    <t>ITR-4</t>
  </si>
  <si>
    <t>Original or Revised</t>
  </si>
  <si>
    <t>Original</t>
  </si>
  <si>
    <t>Acknowledgement Number</t>
  </si>
  <si>
    <t>92efa8f8-68ff-4c33-8a91-d49724be15e3</t>
  </si>
  <si>
    <t>Old Name (if applicable)</t>
  </si>
  <si>
    <t>Date of Birth</t>
  </si>
  <si>
    <t>YYYY-MM-DD</t>
  </si>
  <si>
    <t>Father's Name</t>
  </si>
  <si>
    <t>NAME</t>
  </si>
  <si>
    <t>Nature of Employment (Govt/PSU/Other/Pensioners/NA)</t>
  </si>
  <si>
    <t>Aadhar Number/Aadhar Enrollment Number</t>
  </si>
  <si>
    <t>Registered Address</t>
  </si>
  <si>
    <t>Email Id</t>
  </si>
  <si>
    <t>Contact Number</t>
  </si>
  <si>
    <t>9008122242</t>
  </si>
  <si>
    <t>Number of House Properties</t>
  </si>
  <si>
    <t>Residential Status (Resident/Non-Resident)</t>
  </si>
  <si>
    <t>Resident</t>
  </si>
  <si>
    <t>Country of Residence (in case of NRI)</t>
  </si>
  <si>
    <t>Taxpayer Identification Number of the Country</t>
  </si>
  <si>
    <t>Original Return Filing Date</t>
  </si>
  <si>
    <t>2022-10-31</t>
  </si>
  <si>
    <t>28 Jun 2026</t>
  </si>
  <si>
    <t>Revised Return Filing Date</t>
  </si>
  <si>
    <t>Status (Individual/HUF/Public/Private/Firm/Local Authority/AOP/BOI/AJP)</t>
  </si>
  <si>
    <t>Individual</t>
  </si>
  <si>
    <t>Date of Incorporation</t>
  </si>
  <si>
    <t>Date of Commencement of Business</t>
  </si>
  <si>
    <t>CIN/LLPIN</t>
  </si>
  <si>
    <t>Is Company/Firm Domestic? (Y/N)</t>
  </si>
  <si>
    <t>Holding Status (Holding/Subsidiary/Both/Any Other)</t>
  </si>
  <si>
    <t>Whether the Company is a FII/FPI?, if yes, SEBI Registration Number</t>
  </si>
  <si>
    <t>Whether the Company is Recognized as Startup by DPIIT?, if yes, Provide the Registration Number</t>
  </si>
  <si>
    <t>Whether the Company is a PSU? (Y/N)</t>
  </si>
  <si>
    <t>Whether the Company is owned by RBI? (Y/N)</t>
  </si>
  <si>
    <t>Whether any Government Entity has Shareholding of 40% or above? (Y/N)</t>
  </si>
  <si>
    <t>Company Type (Banking/Scheduled/Insurance/NBFC)</t>
  </si>
  <si>
    <t>Whether the Company is Unlisted? (Y/N)</t>
  </si>
  <si>
    <t>Tax Calculation</t>
  </si>
  <si>
    <t>Income from Salary</t>
  </si>
  <si>
    <t>(A)</t>
  </si>
  <si>
    <t>Income under House Property</t>
  </si>
  <si>
    <t>(B)</t>
  </si>
  <si>
    <t>Profits and Gains from Business and Profession</t>
  </si>
  <si>
    <t>(C)</t>
  </si>
  <si>
    <t>Income from Short Term Capital Gains as per Applicable Rates</t>
  </si>
  <si>
    <t>(D)</t>
  </si>
  <si>
    <t>Income from Long Term Capital Gains as per Applicable Rates</t>
  </si>
  <si>
    <t>(E)</t>
  </si>
  <si>
    <t>Income from Other Sources</t>
  </si>
  <si>
    <t>(F)</t>
  </si>
  <si>
    <t>Total of Head-Wise Income</t>
  </si>
  <si>
    <t>(G=A+B+C+D+E+F)</t>
  </si>
  <si>
    <t>Total Losses of Current Year and Brought Forward Losses Set Off</t>
  </si>
  <si>
    <t>(H)</t>
  </si>
  <si>
    <t>Gross Total Income</t>
  </si>
  <si>
    <t>(I=G-H)</t>
  </si>
  <si>
    <t>Total Deductions under Chapter VI-A</t>
  </si>
  <si>
    <t>(J)</t>
  </si>
  <si>
    <t>Deductions under Section 10AA</t>
  </si>
  <si>
    <t>(K)</t>
  </si>
  <si>
    <t>Income not Forming Part of Total Income (Section 10AA, 10(23FB), 10(23FC))</t>
  </si>
  <si>
    <t>(L)</t>
  </si>
  <si>
    <t>Total Taxable Income</t>
  </si>
  <si>
    <t>(M=I-J-K-L)</t>
  </si>
  <si>
    <t>Income Chargeable to Tax at Special Rates</t>
  </si>
  <si>
    <t>(N)</t>
  </si>
  <si>
    <t>Net Agricultural Income</t>
  </si>
  <si>
    <t>(O)</t>
  </si>
  <si>
    <t>Aggregate Income</t>
  </si>
  <si>
    <t>(P)</t>
  </si>
  <si>
    <t>Deemed Income under Section 115JC/115JB</t>
  </si>
  <si>
    <t>(Q)</t>
  </si>
  <si>
    <t>Computation of Tax Liability on Total Income</t>
  </si>
  <si>
    <t>Total Tax Payable on Deemed Total Income</t>
  </si>
  <si>
    <t>(R)</t>
  </si>
  <si>
    <t>Tax Payable on Total Income</t>
  </si>
  <si>
    <t>(S)</t>
  </si>
  <si>
    <t>Rebate under Section 87A</t>
  </si>
  <si>
    <t>(T)</t>
  </si>
  <si>
    <t>Tax Payable after Rebate</t>
  </si>
  <si>
    <t>(U=S-T)</t>
  </si>
  <si>
    <t>Total Surcharge</t>
  </si>
  <si>
    <t>(V)</t>
  </si>
  <si>
    <t>Health and Education Cess @4%</t>
  </si>
  <si>
    <t>(W=.04*(U+V))</t>
  </si>
  <si>
    <t>Gross Tax Liability</t>
  </si>
  <si>
    <t>(X=U+V+W)</t>
  </si>
  <si>
    <t>Gross Tax Payable</t>
  </si>
  <si>
    <t>(Y=HIGHER OF R OR X)</t>
  </si>
  <si>
    <t>Credit under Section 115JD/115JAA</t>
  </si>
  <si>
    <t>(Z)</t>
  </si>
  <si>
    <t>Tax Payable after Credit under Section 115JD/115JAA</t>
  </si>
  <si>
    <t>(AA=Y-Z)</t>
  </si>
  <si>
    <t>Relief under Section 89</t>
  </si>
  <si>
    <t>(AB)</t>
  </si>
  <si>
    <t>Total Tax Relief</t>
  </si>
  <si>
    <t>(AC)</t>
  </si>
  <si>
    <t>Net Tax liability</t>
  </si>
  <si>
    <t>(AD=AA-AB-AC)</t>
  </si>
  <si>
    <t>Total Tax, Interest and Fee Payable</t>
  </si>
  <si>
    <t>(AE)</t>
  </si>
  <si>
    <t>Aggregate Liability</t>
  </si>
  <si>
    <t>(AF=AD+AE)</t>
  </si>
  <si>
    <t>Total TDS</t>
  </si>
  <si>
    <t>(AG)</t>
  </si>
  <si>
    <t>Total Advance and Self Assessment Tax</t>
  </si>
  <si>
    <t>(AH)</t>
  </si>
  <si>
    <t>Total TCS</t>
  </si>
  <si>
    <t>(AI)</t>
  </si>
  <si>
    <t>Total Taxes Paid</t>
  </si>
  <si>
    <t>(AJ=AG+AH+AI)</t>
  </si>
  <si>
    <t>Amount Payable</t>
  </si>
  <si>
    <t>(AK=HIGHER OF (AF-AJ,0))</t>
  </si>
  <si>
    <t>Refund if AD&gt;Z</t>
  </si>
  <si>
    <t>(AL=AJ-AF)</t>
  </si>
  <si>
    <t>Balance Sheet  (INR)</t>
  </si>
  <si>
    <t>Sl. No.</t>
  </si>
  <si>
    <t>Equity &amp; Liabilities</t>
  </si>
  <si>
    <t>Share Capital /Proprietor's Capital</t>
  </si>
  <si>
    <t>Total Reserves and Surplus</t>
  </si>
  <si>
    <t>Retained Earnings</t>
  </si>
  <si>
    <t>Money Received against Share Warrants</t>
  </si>
  <si>
    <t>Shareholder's Funds / Proprietor's Funds</t>
  </si>
  <si>
    <t>Share Application Money Pending Allotment</t>
  </si>
  <si>
    <t>Long Term Borrowings in Bonds/Debentures</t>
  </si>
  <si>
    <t>Long Term Borrowings in Term Loans</t>
  </si>
  <si>
    <t>Long Term Liabilities from Related Parties</t>
  </si>
  <si>
    <t>Secured Loan from Banks/Others</t>
  </si>
  <si>
    <t>Secured Foreign Currency Loans</t>
  </si>
  <si>
    <t>Unsecured Loan from Banks/Others</t>
  </si>
  <si>
    <t>Unsecured Foreign Currency Loans</t>
  </si>
  <si>
    <t>Trade Payables (&gt;6 Months)</t>
  </si>
  <si>
    <t>Deferred Tax Liabilities</t>
  </si>
  <si>
    <t>Long Term Provisions</t>
  </si>
  <si>
    <t>Long Term Loans and Advances</t>
  </si>
  <si>
    <t>Other Long Term Liabilities</t>
  </si>
  <si>
    <t>Total Non-Current Liabilities</t>
  </si>
  <si>
    <t>Loans Repayable on Demand from Banks/Other Parties</t>
  </si>
  <si>
    <t>Short Term Liabilities from Related Parties</t>
  </si>
  <si>
    <t>Current Maturities of Long Term Debt</t>
  </si>
  <si>
    <t>Deferred Tax Liability</t>
  </si>
  <si>
    <t>Current Tax Liabilities</t>
  </si>
  <si>
    <t>Trade Payables (&lt;6 Months)</t>
  </si>
  <si>
    <t>Short Term Loans and Advances</t>
  </si>
  <si>
    <t>Short Term Provisions</t>
  </si>
  <si>
    <t>Other Current Liabilities</t>
  </si>
  <si>
    <t>Total Current Liabilities</t>
  </si>
  <si>
    <t>Total Liabilities</t>
  </si>
  <si>
    <t>Total Equity and Liabilities</t>
  </si>
  <si>
    <t>Assets</t>
  </si>
  <si>
    <t>Tangible Assets - Gross</t>
  </si>
  <si>
    <t>Intangible Assets - Gross</t>
  </si>
  <si>
    <t>Capital Work in Progress</t>
  </si>
  <si>
    <t>Intangible Assets under Development</t>
  </si>
  <si>
    <t>Total Gross Block</t>
  </si>
  <si>
    <t>Depreciation and Amortization</t>
  </si>
  <si>
    <t>Impairment Losses</t>
  </si>
  <si>
    <t>Total Fixed Assets</t>
  </si>
  <si>
    <t>Non-Current Investments</t>
  </si>
  <si>
    <t>Trade Receivables (&gt;6 Months)</t>
  </si>
  <si>
    <t>Deferred Tax Assets</t>
  </si>
  <si>
    <t>Other Non-Current Assets</t>
  </si>
  <si>
    <t>Total Non-current Assets</t>
  </si>
  <si>
    <t>Current Investments</t>
  </si>
  <si>
    <t>Inventories</t>
  </si>
  <si>
    <t>Trade Receivables (&lt;6 Months)</t>
  </si>
  <si>
    <t>Cash and Cash Equivalents</t>
  </si>
  <si>
    <t>Current Tax Assets</t>
  </si>
  <si>
    <t>Other Current Assets</t>
  </si>
  <si>
    <t>Total Current Assets</t>
  </si>
  <si>
    <t>Total Assets</t>
  </si>
  <si>
    <t>Net Worth</t>
  </si>
  <si>
    <t>Profit and Loss Statement (INR)</t>
  </si>
  <si>
    <t>Sale of Goods</t>
  </si>
  <si>
    <t>Sale of Services</t>
  </si>
  <si>
    <t>Receipts from Profession</t>
  </si>
  <si>
    <t>Other Operating Income</t>
  </si>
  <si>
    <t>Revenue from Operations</t>
  </si>
  <si>
    <t>Opening Inventories</t>
  </si>
  <si>
    <t>Closing Inventories</t>
  </si>
  <si>
    <t>Purchases</t>
  </si>
  <si>
    <t>Factory Overheads</t>
  </si>
  <si>
    <t>Direct Wages</t>
  </si>
  <si>
    <t>Direct Expenses</t>
  </si>
  <si>
    <t>Other Direct Costs</t>
  </si>
  <si>
    <t>Gross Profit</t>
  </si>
  <si>
    <t>Freight Outward</t>
  </si>
  <si>
    <t>Consumption of Stores and Spare Parts</t>
  </si>
  <si>
    <t>Power and Fuel</t>
  </si>
  <si>
    <t>Employee Benefit Expenses</t>
  </si>
  <si>
    <t>Selling, General and Administrative Expenses</t>
  </si>
  <si>
    <t>Selling, Promotional/Advertisement Expenses</t>
  </si>
  <si>
    <t>Other Expenses</t>
  </si>
  <si>
    <t>Total Expenses</t>
  </si>
  <si>
    <t>EBITDA</t>
  </si>
  <si>
    <t>EBIT</t>
  </si>
  <si>
    <t>Finance Cost</t>
  </si>
  <si>
    <t>Profit after Interest and before Tax</t>
  </si>
  <si>
    <t>Other Non Operating Income</t>
  </si>
  <si>
    <t>Other Non Operating Expense</t>
  </si>
  <si>
    <t>Profit Before Tax</t>
  </si>
  <si>
    <t>Current Tax</t>
  </si>
  <si>
    <t>Deferred Tax</t>
  </si>
  <si>
    <t>Profit after Tax</t>
  </si>
  <si>
    <t>Retained Profit</t>
  </si>
  <si>
    <t>Ratio Analysis</t>
  </si>
  <si>
    <t>Ratios</t>
  </si>
  <si>
    <t>Liquidity Analysis</t>
  </si>
  <si>
    <t>Current Ratio</t>
  </si>
  <si>
    <t>Cash Ratio</t>
  </si>
  <si>
    <t>Quick Ratio</t>
  </si>
  <si>
    <t>Net Working Capital to Total Assets</t>
  </si>
  <si>
    <t>Asset Management</t>
  </si>
  <si>
    <t>Inventory Turnover</t>
  </si>
  <si>
    <t>Inventory Turnover (in days)</t>
  </si>
  <si>
    <t>Trade Receivables Turnover Ratio</t>
  </si>
  <si>
    <t>Trade Receivables Turnover (in days)</t>
  </si>
  <si>
    <t>Trade Payables Turnover Ratio</t>
  </si>
  <si>
    <t>Trade Payables Turnover (in days)</t>
  </si>
  <si>
    <t>Cash Conversion (in days)</t>
  </si>
  <si>
    <t>Net Working Capital Turnover Ratio</t>
  </si>
  <si>
    <t>Fixed Assets Turnover Ratio</t>
  </si>
  <si>
    <t>Total Assets Turnover Ratio</t>
  </si>
  <si>
    <t>Leverage Ratios</t>
  </si>
  <si>
    <t>Debt Ratio</t>
  </si>
  <si>
    <t>Debt Equity Ratio</t>
  </si>
  <si>
    <t>Free Reserves/Equity Ratio</t>
  </si>
  <si>
    <t>Total Outside Liability/Total Net Worth</t>
  </si>
  <si>
    <t>Debt/EBITDA</t>
  </si>
  <si>
    <t>Coverage Ratios</t>
  </si>
  <si>
    <t>Interest Coverage Ratio</t>
  </si>
  <si>
    <t>Cash Interest Coverage Ratio</t>
  </si>
  <si>
    <t>Profitability Ratios</t>
  </si>
  <si>
    <t>Operating Profit Margin</t>
  </si>
  <si>
    <t>Net Profit Margin</t>
  </si>
  <si>
    <t>EBIDTA Margin</t>
  </si>
  <si>
    <t>Return on Assets</t>
  </si>
  <si>
    <t>Return on Equity</t>
  </si>
  <si>
    <t>Gross Cash Accrual Margin</t>
  </si>
  <si>
    <t>Operating Cashflow Margin</t>
  </si>
  <si>
    <t>Return on Capital Employed</t>
  </si>
  <si>
    <t>Growth in Cashflow Margin</t>
  </si>
  <si>
    <t>Growth in Operating Cashflow Margin</t>
  </si>
  <si>
    <t>Growth in Debt/Equity</t>
  </si>
  <si>
    <t>Gross Cash Accruals</t>
  </si>
  <si>
    <t>Profit after Tax Growth</t>
  </si>
  <si>
    <t>Sales Growth</t>
  </si>
  <si>
    <t>SUNIL KUMAR AGARWAL — GST ANALYTICS REPORT</t>
  </si>
  <si>
    <t>Trade Name</t>
  </si>
  <si>
    <t>GSTIN</t>
  </si>
  <si>
    <t>Director(s)</t>
  </si>
  <si>
    <t>Constitution</t>
  </si>
  <si>
    <t>Industry</t>
  </si>
  <si>
    <t>Supplier of Service (CA)</t>
  </si>
  <si>
    <t>Principal Place</t>
  </si>
  <si>
    <t>Filing Status</t>
  </si>
  <si>
    <t>State</t>
  </si>
  <si>
    <t>Financial Year(s)</t>
  </si>
  <si>
    <t>Report Generated On</t>
  </si>
  <si>
    <t>Report Date</t>
  </si>
  <si>
    <t>28/03/2024</t>
  </si>
  <si>
    <t>GST SUMMARY</t>
  </si>
  <si>
    <t>Current Year</t>
  </si>
  <si>
    <t>Previous Year</t>
  </si>
  <si>
    <t>Industry Avg</t>
  </si>
  <si>
    <t>Overview Yearly: Insights</t>
  </si>
  <si>
    <t>FY 2021-22</t>
  </si>
  <si>
    <t>FY 2022-23</t>
  </si>
  <si>
    <t>Annual GSTR Sales</t>
  </si>
  <si>
    <t>GSTR 2A Gross Purchases (J=F-G+H+I)</t>
  </si>
  <si>
    <t>Annual GST Income</t>
  </si>
  <si>
    <t>Gross Profit Percentage</t>
  </si>
  <si>
    <t>0.99%</t>
  </si>
  <si>
    <t>Industry Margin</t>
  </si>
  <si>
    <t>10%</t>
  </si>
  <si>
    <t>0.88%</t>
  </si>
  <si>
    <t>Appendix 6: Monthly Sales &amp; Purchases Summary</t>
  </si>
  <si>
    <t>Monthly Sales Summary</t>
  </si>
  <si>
    <t>Month</t>
  </si>
  <si>
    <t>Taxable Value</t>
  </si>
  <si>
    <t>Tax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</si>
  <si>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</si>
  <si>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</si>
  <si>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</si>
  <si>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</si>
  <si>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</si>
  <si>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</si>
  <si>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</si>
  <si>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</si>
  <si>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</si>
  <si>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</si>
  <si>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</si>
  <si>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</si>
  <si>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Monthly Purchase Summary</t>
  </si>
  <si>
    <t>Appendix 4: Business Breakup</t>
  </si>
  <si>
    <t>Sales</t>
  </si>
  <si>
    <t>B2B (Business to Business)</t>
  </si>
  <si>
    <t>B2CL (Business to Customers Large)</t>
  </si>
  <si>
    <t>B2CS (Business to Customers Small)</t>
  </si>
  <si>
    <t>CDNR (Credit &amp; Debit Notes Registered)</t>
  </si>
  <si>
    <t>CDNUR (Credit &amp; Debit Notes Un-Registered)</t>
  </si>
  <si>
    <t>Exports</t>
  </si>
  <si>
    <t>NIL</t>
  </si>
  <si>
    <t>Exempted</t>
  </si>
  <si>
    <t>Non-GST</t>
  </si>
  <si>
    <t>Imports</t>
  </si>
  <si>
    <t>Reverse Charge</t>
  </si>
  <si>
    <t>CIBIL — TRANSUNION CREDIT REPORT</t>
  </si>
  <si>
    <t>APPLICANT CREDIT SUMMARY</t>
  </si>
  <si>
    <t>Remarks</t>
  </si>
  <si>
    <t>9886349077</t>
  </si>
  <si>
    <t>Enquery details</t>
  </si>
  <si>
    <t>ACTIVE OBLIGATIONS (4)  —  Total EMI: ₹2,82,526</t>
  </si>
  <si>
    <t>Lender</t>
  </si>
  <si>
    <t>Loan Type</t>
  </si>
  <si>
    <t>EMI / Month</t>
  </si>
  <si>
    <t>Outstanding</t>
  </si>
  <si>
    <t>Fintree</t>
  </si>
  <si>
    <t>Home Loan</t>
  </si>
  <si>
    <t>ACTIVE</t>
  </si>
  <si>
    <t>Sajag</t>
  </si>
  <si>
    <t>Business Loan</t>
  </si>
  <si>
    <t>Sanket</t>
  </si>
  <si>
    <t>Car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</si>
</sst>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₹-en-IN]#,##,##0"/>
    <numFmt numFmtId="165" formatCode="#,##0.00;[Red](#,##0.00);0"/>
    <numFmt numFmtId="166" formatCode="#,##0.00;(#,##0.00)"/>
    <numFmt numFmtId="167" formatCode="₹#,##0.00"/>
  </numFmts>
  <fonts count="22" x14ac:knownFonts="1">
    <font>
      <color theme="1"/>
      <family val="2"/>
      <scheme val="minor"/>
      <sz val="11"/>
      <name val="Calibri"/>
    </font>
    <font>
      <b/>
      <color rgb="FF0A2540"/>
      <sz val="14"/>
      <name val="Arial"/>
    </font>
    <font>
      <sz val="9"/>
      <name val="Arial"/>
    </font>
    <font>
      <b/>
      <color rgb="FF065F46"/>
      <sz val="10"/>
      <name val="Arial"/>
    </font>
    <font>
      <b/>
      <color rgb="FF17365D"/>
      <sz val="11"/>
      <name val="Arial"/>
    </font>
    <font>
      <b/>
      <color rgb="FF334155"/>
      <sz val="9"/>
      <name val="Arial"/>
    </font>
    <font>
      <b/>
      <color rgb="FFC2410C"/>
      <sz val="9"/>
      <name val="Arial"/>
    </font>
    <font>
      <color theme="1"/>
      <scheme val="minor"/>
      <sz val="11"/>
      <name val="Calibri"/>
    </font>
    <font>
      <b/>
      <sz val="9"/>
      <name val="Arial"/>
    </font>
    <font>
      <b/>
      <color rgb="FF000000"/>
      <sz val="16"/>
      <name val="Calibri"/>
    </font>
    <font>
      <b/>
      <color rgb="FFFFFFFF"/>
      <sz val="11"/>
      <name val="Calibri"/>
    </font>
    <font>
      <b/>
      <color rgb="FFFFFFFF"/>
      <family val="2"/>
      <sz val="11"/>
      <name val="Calibri"/>
    </font>
    <font>
      <color theme="1"/>
      <sz val="11"/>
      <name val="Calibri"/>
    </font>
    <font>
      <color rgb="FF000000"/>
      <family val="2"/>
      <sz val="11"/>
      <name val="Calibri"/>
    </font>
    <font>
      <u/>
      <color theme="10"/>
      <family val="2"/>
      <scheme val="minor"/>
      <sz val="11"/>
      <name val="Calibri"/>
    </font>
    <font>
      <b/>
      <color rgb="FF000000"/>
      <family val="2"/>
      <sz val="11"/>
      <name val="Calibri"/>
    </font>
    <font>
      <b/>
      <charset val="1"/>
      <color rgb="FFFFFFFF"/>
      <sz val="11"/>
      <name val="Arial"/>
    </font>
    <font>
      <charset val="1"/>
      <sz val="10"/>
      <name val="Arial"/>
    </font>
    <font>
      <b/>
      <charset val="1"/>
      <sz val="10"/>
      <name val="Arial"/>
    </font>
    <font>
      <b/>
      <color rgb="FF027A48"/>
      <sz val="11"/>
      <name val="Arial"/>
    </font>
    <font>
      <b/>
      <color rgb="FF027A48"/>
      <sz val="10"/>
      <name val="Arial"/>
    </font>
    <font>
      <b/>
      <color rgb="FF027A48"/>
      <sz val="9"/>
      <name val="Arial"/>
    </font>
  </fonts>
  <fills count="21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8FAFC"/>
      </patternFill>
    </fill>
    <fill>
      <patternFill patternType="solid">
        <fgColor rgb="FFD9F2E6"/>
      </patternFill>
    </fill>
    <fill>
      <patternFill patternType="solid">
        <fgColor rgb="FFDDEBFF"/>
      </patternFill>
    </fill>
    <fill>
      <patternFill patternType="solid">
        <fgColor rgb="FFF1F5F9"/>
      </patternFill>
    </fill>
    <fill>
      <patternFill patternType="solid">
        <fgColor rgb="FFFAFBFC"/>
      </patternFill>
    </fill>
    <fill>
      <patternFill patternType="solid">
        <fgColor rgb="FFFFF7ED"/>
      </patternFill>
    </fill>
    <fill>
      <patternFill patternType="solid">
        <fgColor rgb="FF2769BA"/>
        <bgColor rgb="FF2769BA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EC8000"/>
      </patternFill>
    </fill>
    <fill>
      <patternFill patternType="solid">
        <fgColor rgb="FF194C85"/>
      </patternFill>
    </fill>
    <fill>
      <patternFill patternType="solid">
        <f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  <fill>
      <patternFill patternType="solid">
        <fgColor rgb="FFECFDF3"/>
      </patternFill>
    </fill>
  </fills>
  <borders count="2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hair">
        <color rgb="FFD1D5DB"/>
      </left>
      <right style="hair">
        <color rgb="FFD1D5DB"/>
      </right>
      <top style="hair">
        <color rgb="FFD1D5DB"/>
      </top>
      <bottom style="hair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center"/>
    </xf>
    <xf numFmtId="0" fontId="6" fillId="8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/>
    </xf>
    <xf numFmtId="0" fontId="10" fillId="9" borderId="3" xfId="0" applyFont="1" applyFill="1" applyBorder="1" applyAlignment="1">
      <alignment horizontal="left"/>
    </xf>
    <xf numFmtId="0" fontId="10" fillId="9" borderId="3" xfId="0" applyFont="1" applyFill="1" applyBorder="1" applyAlignment="1">
      <alignment horizontal="left" wrapText="1"/>
    </xf>
    <xf numFmtId="0" fontId="11" fillId="10" borderId="4" xfId="0" applyFont="1" applyFill="1" applyBorder="1" applyAlignment="1">
      <alignment horizontal="left" vertical="center" wrapText="1"/>
    </xf>
    <xf numFmtId="165" fontId="12" fillId="11" borderId="3" xfId="0" applyNumberFormat="1" applyFont="1" applyFill="1" applyBorder="1"/>
    <xf numFmtId="0" fontId="12" fillId="0" borderId="3" xfId="0" applyFont="1" applyBorder="1"/>
    <xf numFmtId="0" fontId="12" fillId="11" borderId="3" xfId="0" applyFont="1" applyFill="1" applyBorder="1"/>
    <xf numFmtId="0" fontId="11" fillId="10" borderId="5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3" fillId="13" borderId="9" xfId="0" applyFont="1" applyFill="1" applyBorder="1" applyAlignment="1">
      <alignment horizontal="left" vertical="center" wrapText="1"/>
    </xf>
    <xf numFmtId="0" fontId="11" fillId="12" borderId="8" xfId="0" applyFont="1" applyFill="1" applyBorder="1" applyAlignment="1">
      <alignment horizontal="left" vertical="center"/>
    </xf>
    <xf numFmtId="0" fontId="13" fillId="13" borderId="3" xfId="0" applyFont="1" applyFill="1" applyBorder="1" applyAlignment="1">
      <alignment horizontal="left" vertical="center"/>
    </xf>
    <xf numFmtId="0" fontId="14" fillId="13" borderId="3" xfId="0" applyFont="1" applyFill="1" applyBorder="1" applyAlignment="1">
      <alignment horizontal="left" vertical="center" wrapText="1"/>
    </xf>
    <xf numFmtId="1" fontId="13" fillId="13" borderId="3" xfId="0" applyNumberFormat="1" applyFont="1" applyFill="1" applyBorder="1" applyAlignment="1">
      <alignment horizontal="left" vertical="center" wrapText="1"/>
    </xf>
    <xf numFmtId="0" fontId="11" fillId="12" borderId="10" xfId="0" applyFont="1" applyFill="1" applyBorder="1" applyAlignment="1">
      <alignment horizontal="left" vertical="center" wrapText="1"/>
    </xf>
    <xf numFmtId="0" fontId="13" fillId="13" borderId="11" xfId="0" applyFont="1" applyFill="1" applyBorder="1" applyAlignment="1">
      <alignment horizontal="left" vertical="center" wrapText="1"/>
    </xf>
    <xf numFmtId="0" fontId="13" fillId="13" borderId="12" xfId="0" applyFont="1" applyFill="1" applyBorder="1" applyAlignment="1">
      <alignment horizontal="left" vertical="center" wrapText="1"/>
    </xf>
    <xf numFmtId="0" fontId="11" fillId="14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12" borderId="13" xfId="0" applyFont="1" applyFill="1" applyBorder="1" applyAlignment="1">
      <alignment horizontal="left" vertical="center"/>
    </xf>
    <xf numFmtId="0" fontId="11" fillId="12" borderId="14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right" vertical="center"/>
    </xf>
    <xf numFmtId="166" fontId="13" fillId="13" borderId="3" xfId="0" applyNumberFormat="1" applyFont="1" applyFill="1" applyBorder="1" applyAlignment="1">
      <alignment horizontal="right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left" vertical="center"/>
    </xf>
    <xf numFmtId="0" fontId="11" fillId="12" borderId="17" xfId="0" applyFont="1" applyFill="1" applyBorder="1" applyAlignment="1">
      <alignment horizontal="center" vertical="center"/>
    </xf>
    <xf numFmtId="166" fontId="13" fillId="13" borderId="11" xfId="0" applyNumberFormat="1" applyFont="1" applyFill="1" applyBorder="1" applyAlignment="1">
      <alignment horizontal="right" vertical="center"/>
    </xf>
    <xf numFmtId="166" fontId="13" fillId="13" borderId="12" xfId="0" applyNumberFormat="1" applyFont="1" applyFill="1" applyBorder="1" applyAlignment="1">
      <alignment horizontal="right" vertical="center"/>
    </xf>
    <xf numFmtId="0" fontId="11" fillId="15" borderId="5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left" vertical="center"/>
    </xf>
    <xf numFmtId="0" fontId="11" fillId="10" borderId="15" xfId="0" applyFont="1" applyFill="1" applyBorder="1" applyAlignment="1">
      <alignment horizontal="left" vertical="center"/>
    </xf>
    <xf numFmtId="3" fontId="13" fillId="13" borderId="8" xfId="0" applyNumberFormat="1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left" vertical="center"/>
    </xf>
    <xf numFmtId="3" fontId="15" fillId="16" borderId="5" xfId="0" applyNumberFormat="1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166" fontId="15" fillId="16" borderId="5" xfId="0" applyNumberFormat="1" applyFont="1" applyFill="1" applyBorder="1" applyAlignment="1">
      <alignment horizontal="right" vertical="center"/>
    </xf>
    <xf numFmtId="0" fontId="15" fillId="16" borderId="5" xfId="0" applyFont="1" applyFill="1" applyBorder="1" applyAlignment="1">
      <alignment horizontal="right" vertical="center"/>
    </xf>
    <xf numFmtId="0" fontId="11" fillId="10" borderId="0" xfId="0" applyFont="1" applyFill="1" applyAlignment="1">
      <alignment horizontal="left" vertical="center"/>
    </xf>
    <xf numFmtId="0" fontId="11" fillId="10" borderId="18" xfId="0" applyFont="1" applyFill="1" applyBorder="1" applyAlignment="1">
      <alignment horizontal="left" vertical="center"/>
    </xf>
    <xf numFmtId="3" fontId="15" fillId="16" borderId="8" xfId="0" applyNumberFormat="1" applyFont="1" applyFill="1" applyBorder="1" applyAlignment="1">
      <alignment horizontal="center" vertical="center"/>
    </xf>
    <xf numFmtId="0" fontId="15" fillId="16" borderId="8" xfId="0" applyFont="1" applyFill="1" applyBorder="1" applyAlignment="1">
      <alignment horizontal="left" vertical="center"/>
    </xf>
    <xf numFmtId="166" fontId="15" fillId="16" borderId="3" xfId="0" applyNumberFormat="1" applyFont="1" applyFill="1" applyBorder="1" applyAlignment="1">
      <alignment horizontal="right" vertical="center"/>
    </xf>
    <xf numFmtId="0" fontId="15" fillId="16" borderId="9" xfId="0" applyFont="1" applyFill="1" applyBorder="1" applyAlignment="1">
      <alignment horizontal="right" vertical="center"/>
    </xf>
    <xf numFmtId="0" fontId="11" fillId="14" borderId="19" xfId="0" applyFont="1" applyFill="1" applyBorder="1" applyAlignment="1">
      <alignment horizontal="center" vertical="center"/>
    </xf>
    <xf numFmtId="0" fontId="0" fillId="13" borderId="18" xfId="0" applyFill="1" applyBorder="1" applyAlignment="1" applyProtection="1">
      <alignment wrapText="1"/>
      <protection locked="0"/>
    </xf>
    <xf numFmtId="0" fontId="13" fillId="13" borderId="9" xfId="0" applyFont="1" applyFill="1" applyBorder="1" applyAlignment="1">
      <alignment horizontal="right" vertical="center"/>
    </xf>
    <xf numFmtId="166" fontId="15" fillId="13" borderId="3" xfId="0" applyNumberFormat="1" applyFont="1" applyFill="1" applyBorder="1" applyAlignment="1">
      <alignment horizontal="right" vertical="center"/>
    </xf>
    <xf numFmtId="0" fontId="15" fillId="13" borderId="9" xfId="0" applyFont="1" applyFill="1" applyBorder="1" applyAlignment="1">
      <alignment horizontal="right" vertical="center"/>
    </xf>
    <xf numFmtId="0" fontId="11" fillId="10" borderId="5" xfId="0" applyFont="1" applyFill="1" applyBorder="1" applyAlignment="1">
      <alignment horizontal="left" vertical="center"/>
    </xf>
    <xf numFmtId="0" fontId="13" fillId="13" borderId="10" xfId="0" applyFont="1" applyFill="1" applyBorder="1" applyAlignment="1">
      <alignment horizontal="left" vertical="center"/>
    </xf>
    <xf numFmtId="0" fontId="13" fillId="13" borderId="11" xfId="0" applyFont="1" applyFill="1" applyBorder="1" applyAlignment="1">
      <alignment horizontal="right" vertical="center"/>
    </xf>
    <xf numFmtId="0" fontId="13" fillId="13" borderId="12" xfId="0" applyFont="1" applyFill="1" applyBorder="1" applyAlignment="1">
      <alignment horizontal="right" vertical="center"/>
    </xf>
    <xf numFmtId="0" fontId="0" fillId="2" borderId="1" xfId="0" applyFill="1" applyBorder="1"/>
    <xf numFmtId="0" fontId="8" fillId="7" borderId="2" xfId="0" applyFont="1" applyFill="1" applyBorder="1" applyAlignment="1">
      <alignment horizontal="left" vertical="center" wrapText="1"/>
    </xf>
    <xf numFmtId="0" fontId="16" fillId="17" borderId="20" xfId="0" applyFont="1" applyFill="1" applyBorder="1" applyAlignment="1">
      <alignment horizontal="center" vertical="center" wrapText="1"/>
    </xf>
    <xf numFmtId="167" fontId="17" fillId="18" borderId="20" xfId="0" applyNumberFormat="1" applyFont="1" applyFill="1" applyBorder="1" applyAlignment="1">
      <alignment horizontal="right" vertical="center"/>
    </xf>
    <xf numFmtId="0" fontId="17" fillId="18" borderId="20" xfId="0" applyFont="1" applyFill="1" applyBorder="1" applyAlignment="1">
      <alignment horizontal="right" vertical="center"/>
    </xf>
    <xf numFmtId="0" fontId="17" fillId="0" borderId="20" xfId="0" applyFont="1" applyBorder="1" applyAlignment="1">
      <alignment horizontal="right" vertical="center"/>
    </xf>
    <xf numFmtId="0" fontId="18" fillId="19" borderId="20" xfId="0" applyFont="1" applyFill="1" applyBorder="1" applyAlignment="1">
      <alignment horizontal="left" vertical="center"/>
    </xf>
    <xf numFmtId="167" fontId="18" fillId="19" borderId="20" xfId="0" applyNumberFormat="1" applyFont="1" applyFill="1" applyBorder="1" applyAlignment="1">
      <alignment horizontal="right"/>
    </xf>
    <xf numFmtId="0" fontId="19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51000</xdr:rowOff>
    </xdr:from>
    <xdr:ext cx="138112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0</xdr:colOff>
      <xdr:row>0</xdr:row>
      <xdr:rowOff>51000</xdr:rowOff>
    </xdr:from>
    <xdr:ext cx="138112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51000</xdr:rowOff>
    </xdr:from>
    <xdr:ext cx="138112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0</xdr:colOff>
      <xdr:row>0</xdr:row>
      <xdr:rowOff>51000</xdr:rowOff>
    </xdr:from>
    <xdr:ext cx="138112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51000</xdr:rowOff>
    </xdr:from>
    <xdr:ext cx="138112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2540"/>
    <pageSetUpPr fitToPage="1"/>
  </sheetPr>
  <dimension ref="A1:G66"/>
  <sheetViews>
    <sheetView workbookViewId="0">
      <pane ySplit="4" topLeftCell="A5" activePane="bottomLeft" state="frozen"/>
      <selection pane="bottomLeft"/>
    </sheetView>
  </sheetViews>
  <sheetFormatPr defaultRowHeight="14.5" outlineLevelRow="0" outlineLevelCol="0" x14ac:dyDescent="0.35" customHeight="1"/>
  <cols>
    <col min="1" max="1" width="22" customWidth="1"/>
    <col min="2" max="2" width="28" customWidth="1"/>
    <col min="3" max="3" width="24" customWidth="1"/>
    <col min="4" max="4" width="23" customWidth="1"/>
    <col min="5" max="5" width="22" customWidth="1"/>
    <col min="6" max="6" width="24" customWidth="1"/>
    <col min="7" max="7" width="42" customWidth="1"/>
  </cols>
  <sheetData>
    <row r="1" ht="3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4</v>
      </c>
    </row>
    <row r="3" ht="24" customHeight="1" spans="1: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4</v>
      </c>
      <c r="F3" s="2" t="s">
        <v>4</v>
      </c>
      <c r="G3" s="2" t="s">
        <v>4</v>
      </c>
    </row>
    <row r="4" ht="24" customHeight="1" spans="1:7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4</v>
      </c>
      <c r="F4" s="2" t="s">
        <v>4</v>
      </c>
      <c r="G4" s="2" t="s">
        <v>13</v>
      </c>
    </row>
    <row r="5" ht="21" customHeight="1" spans="1:7" x14ac:dyDescent="0.25">
      <c r="A5" s="3" t="s">
        <v>4</v>
      </c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ht="23" customHeight="1" spans="1:7" x14ac:dyDescent="0.25">
      <c r="A6" s="4" t="s">
        <v>14</v>
      </c>
      <c r="B6" s="4"/>
      <c r="C6" s="4"/>
      <c r="D6" s="4"/>
      <c r="E6" s="4"/>
      <c r="F6" s="4"/>
      <c r="G6" s="4"/>
    </row>
    <row r="7" ht="26" customHeight="1" spans="1:7" x14ac:dyDescent="0.25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</row>
    <row r="8" ht="42" customHeight="1" spans="1:7" x14ac:dyDescent="0.25">
      <c r="A8" s="3" t="s">
        <v>22</v>
      </c>
      <c r="B8" s="3" t="s">
        <v>6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4</v>
      </c>
    </row>
    <row r="9" ht="42" customHeight="1" spans="1:7" x14ac:dyDescent="0.25">
      <c r="A9" s="3" t="s">
        <v>27</v>
      </c>
      <c r="B9" s="3" t="s">
        <v>4</v>
      </c>
      <c r="C9" s="3" t="s">
        <v>28</v>
      </c>
      <c r="D9" s="3" t="s">
        <v>24</v>
      </c>
      <c r="E9" s="3" t="s">
        <v>4</v>
      </c>
      <c r="F9" s="3" t="s">
        <v>4</v>
      </c>
      <c r="G9" s="3" t="s">
        <v>4</v>
      </c>
    </row>
    <row r="10" ht="42" customHeight="1" spans="1:7" x14ac:dyDescent="0.25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4</v>
      </c>
      <c r="F10" s="3" t="s">
        <v>33</v>
      </c>
      <c r="G10" s="3" t="s">
        <v>4</v>
      </c>
    </row>
    <row r="11" ht="42" customHeight="1" spans="1:7" x14ac:dyDescent="0.25">
      <c r="A11" s="3" t="s">
        <v>4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</row>
    <row r="12" ht="21" customHeight="1" spans="1:7" x14ac:dyDescent="0.25">
      <c r="A12" s="3" t="s">
        <v>4</v>
      </c>
      <c r="B12" s="3" t="s">
        <v>4</v>
      </c>
      <c r="C12" s="3" t="s">
        <v>4</v>
      </c>
      <c r="D12" s="3" t="s">
        <v>4</v>
      </c>
      <c r="E12" s="3" t="s">
        <v>4</v>
      </c>
      <c r="F12" s="3" t="s">
        <v>4</v>
      </c>
      <c r="G12" s="3" t="s">
        <v>4</v>
      </c>
    </row>
    <row r="13" ht="23" customHeight="1" spans="1:7" x14ac:dyDescent="0.25">
      <c r="A13" s="4" t="s">
        <v>34</v>
      </c>
      <c r="B13" s="4"/>
      <c r="C13" s="4"/>
      <c r="D13" s="4"/>
      <c r="E13" s="4"/>
      <c r="F13" s="4"/>
      <c r="G13" s="4"/>
    </row>
    <row r="14" ht="26" customHeight="1" spans="1:7" x14ac:dyDescent="0.25">
      <c r="A14" s="5" t="s">
        <v>35</v>
      </c>
      <c r="B14" s="5" t="s">
        <v>36</v>
      </c>
      <c r="C14" s="5" t="s">
        <v>35</v>
      </c>
      <c r="D14" s="5" t="s">
        <v>36</v>
      </c>
      <c r="E14" s="5" t="s">
        <v>35</v>
      </c>
      <c r="F14" s="5" t="s">
        <v>36</v>
      </c>
      <c r="G14" s="5" t="s">
        <v>4</v>
      </c>
    </row>
    <row r="15" ht="21" customHeight="1" spans="1:7" x14ac:dyDescent="0.25">
      <c r="A15" s="3" t="s">
        <v>37</v>
      </c>
      <c r="B15" s="3" t="s">
        <v>4</v>
      </c>
      <c r="C15" s="3" t="s">
        <v>38</v>
      </c>
      <c r="D15" s="3" t="s">
        <v>4</v>
      </c>
      <c r="E15" s="3" t="s">
        <v>39</v>
      </c>
      <c r="F15" s="3" t="s">
        <v>40</v>
      </c>
      <c r="G15" s="3" t="s">
        <v>4</v>
      </c>
    </row>
    <row r="16" ht="21" customHeight="1" spans="1:7" x14ac:dyDescent="0.25">
      <c r="A16" s="3" t="s">
        <v>4</v>
      </c>
      <c r="B16" s="3" t="s">
        <v>4</v>
      </c>
      <c r="C16" s="3" t="s">
        <v>4</v>
      </c>
      <c r="D16" s="3" t="s">
        <v>4</v>
      </c>
      <c r="E16" s="3" t="s">
        <v>4</v>
      </c>
      <c r="F16" s="3" t="s">
        <v>4</v>
      </c>
      <c r="G16" s="3" t="s">
        <v>4</v>
      </c>
    </row>
    <row r="17" ht="21" customHeight="1" spans="1:7" x14ac:dyDescent="0.25">
      <c r="A17" s="3" t="s">
        <v>41</v>
      </c>
      <c r="B17" s="3" t="s">
        <v>42</v>
      </c>
      <c r="C17" s="3" t="s">
        <v>43</v>
      </c>
      <c r="D17" s="3" t="s">
        <v>44</v>
      </c>
      <c r="E17" s="6" t="s">
        <v>4</v>
      </c>
      <c r="F17" s="6" t="s">
        <v>4</v>
      </c>
      <c r="G17" s="3" t="s">
        <v>4</v>
      </c>
    </row>
    <row r="18" ht="36" customHeight="1" spans="1:7" x14ac:dyDescent="0.25">
      <c r="A18" s="3" t="s">
        <v>45</v>
      </c>
      <c r="B18" s="3">
        <v>20000000</v>
      </c>
      <c r="C18" s="3" t="s">
        <v>46</v>
      </c>
      <c r="D18" s="3" t="s">
        <v>4</v>
      </c>
      <c r="E18" s="3" t="s">
        <v>4</v>
      </c>
      <c r="F18" s="3" t="s">
        <v>4</v>
      </c>
      <c r="G18" s="3" t="s">
        <v>4</v>
      </c>
    </row>
    <row r="19" ht="23" customHeight="1" spans="1:7" x14ac:dyDescent="0.25">
      <c r="A19" s="4" t="s">
        <v>47</v>
      </c>
      <c r="B19" s="4"/>
      <c r="C19" s="4"/>
      <c r="D19" s="4"/>
      <c r="E19" s="4"/>
      <c r="F19" s="4"/>
      <c r="G19" s="4"/>
    </row>
    <row r="20" ht="36" customHeight="1" spans="1:7" x14ac:dyDescent="0.25">
      <c r="A20" s="3" t="s">
        <v>48</v>
      </c>
      <c r="B20" s="3" t="s">
        <v>6</v>
      </c>
      <c r="C20" s="3" t="s">
        <v>30</v>
      </c>
      <c r="D20" s="3" t="s">
        <v>4</v>
      </c>
      <c r="E20" s="3" t="s">
        <v>4</v>
      </c>
      <c r="F20" s="3" t="s">
        <v>4</v>
      </c>
      <c r="G20" s="3" t="s">
        <v>4</v>
      </c>
    </row>
    <row r="21" ht="36" customHeight="1" spans="1:7" x14ac:dyDescent="0.25">
      <c r="A21" s="3" t="s">
        <v>49</v>
      </c>
      <c r="B21" s="3">
        <v>810</v>
      </c>
      <c r="C21" s="3">
        <v>816</v>
      </c>
      <c r="D21" s="3" t="s">
        <v>4</v>
      </c>
      <c r="E21" s="3" t="s">
        <v>4</v>
      </c>
      <c r="F21" s="3" t="s">
        <v>4</v>
      </c>
      <c r="G21" s="3" t="s">
        <v>4</v>
      </c>
    </row>
    <row r="22" ht="21" customHeight="1" spans="1:7" x14ac:dyDescent="0.25">
      <c r="A22" s="3" t="s">
        <v>4</v>
      </c>
      <c r="B22" s="3" t="s">
        <v>4</v>
      </c>
      <c r="C22" s="3" t="s">
        <v>4</v>
      </c>
      <c r="D22" s="3" t="s">
        <v>4</v>
      </c>
      <c r="E22" s="3" t="s">
        <v>4</v>
      </c>
      <c r="F22" s="3" t="s">
        <v>4</v>
      </c>
      <c r="G22" s="3" t="s">
        <v>4</v>
      </c>
    </row>
    <row r="23" ht="23" customHeight="1" spans="1:7" x14ac:dyDescent="0.25">
      <c r="A23" s="4" t="s">
        <v>50</v>
      </c>
      <c r="B23" s="4"/>
      <c r="C23" s="4"/>
      <c r="D23" s="4"/>
      <c r="E23" s="4"/>
      <c r="F23" s="4"/>
      <c r="G23" s="4"/>
    </row>
    <row r="24" ht="26" customHeight="1" spans="1:7" x14ac:dyDescent="0.25">
      <c r="A24" s="5" t="s">
        <v>51</v>
      </c>
      <c r="B24" s="5" t="s">
        <v>52</v>
      </c>
      <c r="C24" s="5" t="s">
        <v>53</v>
      </c>
      <c r="D24" s="5" t="s">
        <v>54</v>
      </c>
      <c r="E24" s="5" t="s">
        <v>55</v>
      </c>
      <c r="F24" s="5" t="s">
        <v>56</v>
      </c>
      <c r="G24" s="7" t="s">
        <v>4</v>
      </c>
    </row>
    <row r="25" ht="23" customHeight="1" spans="1:7" x14ac:dyDescent="0.25">
      <c r="A25" s="8" t="s">
        <v>4</v>
      </c>
      <c r="B25" s="8" t="s">
        <v>4</v>
      </c>
      <c r="C25" s="8" t="s">
        <v>4</v>
      </c>
      <c r="D25" s="8" t="s">
        <v>4</v>
      </c>
      <c r="E25" s="8" t="s">
        <v>4</v>
      </c>
      <c r="F25" s="8" t="s">
        <v>4</v>
      </c>
      <c r="G25" s="7" t="s">
        <v>4</v>
      </c>
    </row>
    <row r="26" ht="23" customHeight="1" spans="1:7" x14ac:dyDescent="0.25">
      <c r="A26" s="8" t="s">
        <v>57</v>
      </c>
      <c r="B26" s="8">
        <v>1437483</v>
      </c>
      <c r="C26" s="8">
        <v>1371165</v>
      </c>
      <c r="D26" s="8" t="s">
        <v>4</v>
      </c>
      <c r="E26" s="8" t="s">
        <v>4</v>
      </c>
      <c r="F26" s="8" t="s">
        <v>4</v>
      </c>
      <c r="G26" s="7" t="s">
        <v>4</v>
      </c>
    </row>
    <row r="27" ht="23" customHeight="1" spans="1:7" x14ac:dyDescent="0.25">
      <c r="A27" s="8" t="s">
        <v>58</v>
      </c>
      <c r="B27" s="8">
        <v>47693</v>
      </c>
      <c r="C27" s="8" t="s">
        <v>4</v>
      </c>
      <c r="D27" s="8" t="s">
        <v>4</v>
      </c>
      <c r="E27" s="8" t="s">
        <v>4</v>
      </c>
      <c r="F27" s="8" t="s">
        <v>4</v>
      </c>
      <c r="G27" s="7" t="s">
        <v>4</v>
      </c>
    </row>
    <row r="28" ht="23" customHeight="1" spans="1:7" x14ac:dyDescent="0.25">
      <c r="A28" s="8" t="s">
        <v>59</v>
      </c>
      <c r="B28" s="8" t="s">
        <v>4</v>
      </c>
      <c r="C28" s="8" t="s">
        <v>4</v>
      </c>
      <c r="D28" s="8" t="s">
        <v>4</v>
      </c>
      <c r="E28" s="8" t="s">
        <v>4</v>
      </c>
      <c r="F28" s="8" t="s">
        <v>4</v>
      </c>
      <c r="G28" s="7" t="s">
        <v>4</v>
      </c>
    </row>
    <row r="29" ht="23" customHeight="1" spans="1:7" x14ac:dyDescent="0.25">
      <c r="A29" s="8" t="s">
        <v>60</v>
      </c>
      <c r="B29" s="8" t="s">
        <v>4</v>
      </c>
      <c r="C29" s="8" t="s">
        <v>4</v>
      </c>
      <c r="D29" s="8" t="s">
        <v>4</v>
      </c>
      <c r="E29" s="8" t="s">
        <v>4</v>
      </c>
      <c r="F29" s="8" t="s">
        <v>4</v>
      </c>
      <c r="G29" s="7" t="s">
        <v>4</v>
      </c>
    </row>
    <row r="30" ht="23" customHeight="1" spans="1:7" x14ac:dyDescent="0.25">
      <c r="A30" s="8" t="s">
        <v>61</v>
      </c>
      <c r="B30" s="8">
        <v>8211259.75</v>
      </c>
      <c r="C30" s="8">
        <v>6622337</v>
      </c>
      <c r="D30" s="8">
        <v>3638040</v>
      </c>
      <c r="E30" s="8">
        <v>8211259.75</v>
      </c>
      <c r="F30" s="8">
        <v>684271.6458333334</v>
      </c>
      <c r="G30" s="7" t="s">
        <v>4</v>
      </c>
    </row>
    <row r="31" ht="23" customHeight="1" spans="1:7" x14ac:dyDescent="0.25">
      <c r="A31" s="8" t="s">
        <v>62</v>
      </c>
      <c r="B31" s="8" t="s">
        <v>4</v>
      </c>
      <c r="C31" s="8" t="s">
        <v>4</v>
      </c>
      <c r="D31" s="8" t="s">
        <v>4</v>
      </c>
      <c r="E31" s="8">
        <v>8211259.75</v>
      </c>
      <c r="F31" s="8">
        <v>684271.6458333334</v>
      </c>
      <c r="G31" s="7" t="s">
        <v>4</v>
      </c>
    </row>
    <row r="32" ht="23" customHeight="1" spans="1:7" x14ac:dyDescent="0.25">
      <c r="A32" s="8" t="s">
        <v>63</v>
      </c>
      <c r="B32" s="8">
        <v>6266702</v>
      </c>
      <c r="C32" s="8">
        <v>4757300</v>
      </c>
      <c r="D32" s="8" t="s">
        <v>4</v>
      </c>
      <c r="E32" s="8" t="s">
        <v>4</v>
      </c>
      <c r="F32" s="8" t="s">
        <v>4</v>
      </c>
      <c r="G32" s="7" t="s">
        <v>4</v>
      </c>
    </row>
    <row r="33" ht="23" customHeight="1" spans="1:7" x14ac:dyDescent="0.25">
      <c r="A33" s="8" t="s">
        <v>64</v>
      </c>
      <c r="B33" s="8">
        <v>13502621.08</v>
      </c>
      <c r="C33" s="8" t="s">
        <v>4</v>
      </c>
      <c r="D33" s="8" t="s">
        <v>4</v>
      </c>
      <c r="E33" s="8">
        <v>13502621.08</v>
      </c>
      <c r="F33" s="8">
        <v>1125218.4233333333</v>
      </c>
      <c r="G33" s="7" t="s">
        <v>4</v>
      </c>
    </row>
    <row r="34" ht="23" customHeight="1" spans="1:7" x14ac:dyDescent="0.25">
      <c r="A34" s="8" t="s">
        <v>65</v>
      </c>
      <c r="B34" s="8">
        <v>281639.33166666667</v>
      </c>
      <c r="C34" s="8" t="s">
        <v>4</v>
      </c>
      <c r="D34" s="8" t="s">
        <v>4</v>
      </c>
      <c r="E34" s="8" t="s">
        <v>4</v>
      </c>
      <c r="F34" s="8">
        <v>281639.33166666667</v>
      </c>
      <c r="G34" s="7" t="s">
        <v>4</v>
      </c>
    </row>
    <row r="35" ht="23" customHeight="1" spans="1:7" x14ac:dyDescent="0.25">
      <c r="A35" s="8" t="s">
        <v>66</v>
      </c>
      <c r="B35" s="8" t="s">
        <v>4</v>
      </c>
      <c r="C35" s="8" t="s">
        <v>4</v>
      </c>
      <c r="D35" s="8" t="s">
        <v>4</v>
      </c>
      <c r="E35" s="8" t="s">
        <v>4</v>
      </c>
      <c r="F35" s="8">
        <v>16666.666666666668</v>
      </c>
      <c r="G35" s="7" t="s">
        <v>4</v>
      </c>
    </row>
    <row r="36" ht="23" customHeight="1" spans="1:7" x14ac:dyDescent="0.25">
      <c r="A36" s="8" t="s">
        <v>67</v>
      </c>
      <c r="B36" s="8" t="s">
        <v>4</v>
      </c>
      <c r="C36" s="8" t="s">
        <v>4</v>
      </c>
      <c r="D36" s="8" t="s">
        <v>4</v>
      </c>
      <c r="E36" s="8" t="s">
        <v>4</v>
      </c>
      <c r="F36" s="8">
        <v>41666.666666666664</v>
      </c>
      <c r="G36" s="7" t="s">
        <v>4</v>
      </c>
    </row>
    <row r="37" ht="23" customHeight="1" spans="1:7" x14ac:dyDescent="0.25">
      <c r="A37" s="8" t="s">
        <v>68</v>
      </c>
      <c r="B37" s="8" t="s">
        <v>4</v>
      </c>
      <c r="C37" s="8" t="s">
        <v>4</v>
      </c>
      <c r="D37" s="8" t="s">
        <v>4</v>
      </c>
      <c r="E37" s="8" t="s">
        <v>4</v>
      </c>
      <c r="F37" s="8" t="s">
        <v>4</v>
      </c>
      <c r="G37" s="7" t="s">
        <v>4</v>
      </c>
    </row>
    <row r="38" ht="23" customHeight="1" spans="1:7" x14ac:dyDescent="0.25">
      <c r="A38" s="8" t="s">
        <v>69</v>
      </c>
      <c r="B38" s="8" t="s">
        <v>4</v>
      </c>
      <c r="C38" s="8" t="s">
        <v>4</v>
      </c>
      <c r="D38" s="8" t="s">
        <v>4</v>
      </c>
      <c r="E38" s="8" t="s">
        <v>4</v>
      </c>
      <c r="F38" s="8">
        <v>21200</v>
      </c>
      <c r="G38" s="7" t="s">
        <v>4</v>
      </c>
    </row>
    <row r="39" ht="23" customHeight="1" spans="1:7" x14ac:dyDescent="0.25">
      <c r="A39" s="8" t="s">
        <v>70</v>
      </c>
      <c r="B39" s="8" t="s">
        <v>4</v>
      </c>
      <c r="C39" s="8" t="s">
        <v>4</v>
      </c>
      <c r="D39" s="8" t="s">
        <v>4</v>
      </c>
      <c r="E39" s="8" t="s">
        <v>4</v>
      </c>
      <c r="F39" s="8">
        <v>0</v>
      </c>
      <c r="G39" s="7" t="s">
        <v>4</v>
      </c>
    </row>
    <row r="40" ht="23" customHeight="1" spans="1:7" x14ac:dyDescent="0.25">
      <c r="A40" s="8" t="s">
        <v>71</v>
      </c>
      <c r="B40" s="8" t="s">
        <v>4</v>
      </c>
      <c r="C40" s="8" t="s">
        <v>4</v>
      </c>
      <c r="D40" s="8" t="s">
        <v>4</v>
      </c>
      <c r="E40" s="8" t="s">
        <v>4</v>
      </c>
      <c r="F40" s="8" t="s">
        <v>4</v>
      </c>
      <c r="G40" s="7" t="s">
        <v>4</v>
      </c>
    </row>
    <row r="41" ht="23" customHeight="1" spans="1:7" x14ac:dyDescent="0.25">
      <c r="A41" s="8" t="s">
        <v>4</v>
      </c>
      <c r="B41" s="8" t="s">
        <v>4</v>
      </c>
      <c r="C41" s="8" t="s">
        <v>4</v>
      </c>
      <c r="D41" s="8" t="s">
        <v>4</v>
      </c>
      <c r="E41" s="8" t="s">
        <v>4</v>
      </c>
      <c r="F41" s="8" t="s">
        <v>4</v>
      </c>
      <c r="G41" s="7" t="s">
        <v>4</v>
      </c>
    </row>
    <row r="42" ht="22" customHeight="1" spans="1:7" x14ac:dyDescent="0.25">
      <c r="A42" s="3" t="s">
        <v>72</v>
      </c>
      <c r="B42" s="3" t="s">
        <v>73</v>
      </c>
      <c r="C42" s="3" t="s">
        <v>74</v>
      </c>
      <c r="D42" s="3">
        <v>14000000</v>
      </c>
      <c r="E42" s="3">
        <v>8.25</v>
      </c>
      <c r="F42" s="3" t="s">
        <v>75</v>
      </c>
      <c r="G42" s="3" t="s">
        <v>76</v>
      </c>
    </row>
    <row r="43" ht="23" customHeight="1" spans="1:7" x14ac:dyDescent="0.25">
      <c r="A43" s="4" t="s">
        <v>77</v>
      </c>
      <c r="B43" s="4"/>
      <c r="C43" s="4"/>
      <c r="D43" s="4"/>
      <c r="E43" s="4"/>
      <c r="F43" s="4"/>
      <c r="G43" s="4"/>
    </row>
    <row r="44" ht="26" customHeight="1" spans="1:7" x14ac:dyDescent="0.25">
      <c r="A44" s="5" t="s">
        <v>78</v>
      </c>
      <c r="B44" s="5" t="s">
        <v>79</v>
      </c>
      <c r="C44" s="5" t="s">
        <v>80</v>
      </c>
      <c r="D44" s="5" t="s">
        <v>78</v>
      </c>
      <c r="E44" s="5" t="s">
        <v>79</v>
      </c>
      <c r="F44" s="5" t="s">
        <v>80</v>
      </c>
      <c r="G44" s="5" t="s">
        <v>4</v>
      </c>
    </row>
    <row r="45" ht="21" customHeight="1" spans="1:7" x14ac:dyDescent="0.25">
      <c r="A45" s="3" t="s">
        <v>81</v>
      </c>
      <c r="B45" s="3" t="s">
        <v>82</v>
      </c>
      <c r="C45" s="9" t="s">
        <v>83</v>
      </c>
      <c r="D45" s="3" t="s">
        <v>84</v>
      </c>
      <c r="E45" s="3" t="s">
        <v>82</v>
      </c>
      <c r="F45" s="9" t="s">
        <v>83</v>
      </c>
      <c r="G45" s="3" t="s">
        <v>4</v>
      </c>
    </row>
    <row r="46" ht="21" customHeight="1" spans="1:7" x14ac:dyDescent="0.25">
      <c r="A46" s="3" t="s">
        <v>81</v>
      </c>
      <c r="B46" s="3" t="s">
        <v>85</v>
      </c>
      <c r="C46" s="9" t="s">
        <v>83</v>
      </c>
      <c r="D46" s="3" t="s">
        <v>84</v>
      </c>
      <c r="E46" s="3" t="s">
        <v>85</v>
      </c>
      <c r="F46" s="9" t="s">
        <v>83</v>
      </c>
      <c r="G46" s="3" t="s">
        <v>4</v>
      </c>
    </row>
    <row r="47" ht="21" customHeight="1" spans="1:7" x14ac:dyDescent="0.25">
      <c r="A47" s="3" t="s">
        <v>4</v>
      </c>
      <c r="B47" s="3" t="s">
        <v>4</v>
      </c>
      <c r="C47" s="9" t="s">
        <v>4</v>
      </c>
      <c r="D47" s="3" t="s">
        <v>4</v>
      </c>
      <c r="E47" s="3" t="s">
        <v>4</v>
      </c>
      <c r="F47" s="9" t="s">
        <v>4</v>
      </c>
      <c r="G47" s="3" t="s">
        <v>4</v>
      </c>
    </row>
    <row r="48" ht="36" customHeight="1" spans="1:7" x14ac:dyDescent="0.25">
      <c r="A48" s="3" t="s">
        <v>86</v>
      </c>
      <c r="B48" s="3" t="s">
        <v>87</v>
      </c>
      <c r="C48" s="9" t="s">
        <v>83</v>
      </c>
      <c r="D48" s="3" t="s">
        <v>88</v>
      </c>
      <c r="E48" s="3" t="s">
        <v>87</v>
      </c>
      <c r="F48" s="9" t="s">
        <v>83</v>
      </c>
      <c r="G48" s="3" t="s">
        <v>4</v>
      </c>
    </row>
    <row r="49" ht="36" customHeight="1" spans="1:7" x14ac:dyDescent="0.25">
      <c r="A49" s="3" t="s">
        <v>4</v>
      </c>
      <c r="B49" s="3" t="s">
        <v>4</v>
      </c>
      <c r="C49" s="9" t="s">
        <v>4</v>
      </c>
      <c r="D49" s="3" t="s">
        <v>4</v>
      </c>
      <c r="E49" s="3" t="s">
        <v>4</v>
      </c>
      <c r="F49" s="9" t="s">
        <v>4</v>
      </c>
      <c r="G49" s="3" t="s">
        <v>4</v>
      </c>
    </row>
    <row r="50" ht="23" customHeight="1" spans="1:7" x14ac:dyDescent="0.25">
      <c r="A50" s="4" t="s">
        <v>89</v>
      </c>
      <c r="B50" s="4"/>
      <c r="C50" s="4"/>
      <c r="D50" s="4"/>
      <c r="E50" s="4"/>
      <c r="F50" s="4"/>
      <c r="G50" s="4"/>
    </row>
    <row r="51" ht="26" customHeight="1" spans="1:7" x14ac:dyDescent="0.25">
      <c r="A51" s="3" t="s">
        <v>78</v>
      </c>
      <c r="B51" s="3" t="s">
        <v>79</v>
      </c>
      <c r="C51" s="9" t="s">
        <v>80</v>
      </c>
      <c r="D51" s="3" t="s">
        <v>78</v>
      </c>
      <c r="E51" s="3" t="s">
        <v>79</v>
      </c>
      <c r="F51" s="9" t="s">
        <v>80</v>
      </c>
      <c r="G51" s="3" t="s">
        <v>4</v>
      </c>
    </row>
    <row r="52" ht="36" customHeight="1" spans="1:7" x14ac:dyDescent="0.25">
      <c r="A52" s="3" t="s">
        <v>90</v>
      </c>
      <c r="B52" s="3" t="s">
        <v>91</v>
      </c>
      <c r="C52" s="9" t="s">
        <v>83</v>
      </c>
      <c r="D52" s="3" t="s">
        <v>92</v>
      </c>
      <c r="E52" s="3" t="s">
        <v>91</v>
      </c>
      <c r="F52" s="9" t="s">
        <v>83</v>
      </c>
      <c r="G52" s="3" t="s">
        <v>4</v>
      </c>
    </row>
    <row r="53" ht="36" customHeight="1" spans="1:7" x14ac:dyDescent="0.25">
      <c r="A53" s="3" t="s">
        <v>93</v>
      </c>
      <c r="B53" s="3" t="s">
        <v>91</v>
      </c>
      <c r="C53" s="9" t="s">
        <v>83</v>
      </c>
      <c r="D53" s="3" t="s">
        <v>94</v>
      </c>
      <c r="E53" s="3" t="s">
        <v>91</v>
      </c>
      <c r="F53" s="9" t="s">
        <v>83</v>
      </c>
      <c r="G53" s="3" t="s">
        <v>4</v>
      </c>
    </row>
    <row r="54" ht="36" customHeight="1" spans="1:7" x14ac:dyDescent="0.25">
      <c r="A54" s="3" t="s">
        <v>95</v>
      </c>
      <c r="B54" s="3" t="s">
        <v>6</v>
      </c>
      <c r="C54" s="9" t="s">
        <v>83</v>
      </c>
      <c r="D54" s="3" t="s">
        <v>96</v>
      </c>
      <c r="E54" s="3" t="s">
        <v>30</v>
      </c>
      <c r="F54" s="9" t="s">
        <v>83</v>
      </c>
      <c r="G54" s="3" t="s">
        <v>4</v>
      </c>
    </row>
    <row r="55" ht="21" customHeight="1" spans="1:7" x14ac:dyDescent="0.25">
      <c r="A55" s="3" t="s">
        <v>97</v>
      </c>
      <c r="B55" s="3" t="s">
        <v>91</v>
      </c>
      <c r="C55" s="9" t="s">
        <v>83</v>
      </c>
      <c r="D55" s="3" t="s">
        <v>98</v>
      </c>
      <c r="E55" s="3" t="s">
        <v>99</v>
      </c>
      <c r="F55" s="9" t="s">
        <v>83</v>
      </c>
      <c r="G55" s="3" t="s">
        <v>4</v>
      </c>
    </row>
    <row r="56" ht="21" customHeight="1" spans="1:7" x14ac:dyDescent="0.25">
      <c r="A56" s="3" t="s">
        <v>4</v>
      </c>
      <c r="B56" s="3" t="s">
        <v>4</v>
      </c>
      <c r="C56" s="3" t="s">
        <v>4</v>
      </c>
      <c r="D56" s="3" t="s">
        <v>4</v>
      </c>
      <c r="E56" s="3" t="s">
        <v>4</v>
      </c>
      <c r="F56" s="3" t="s">
        <v>4</v>
      </c>
      <c r="G56" s="3" t="s">
        <v>4</v>
      </c>
    </row>
    <row r="57" ht="23" customHeight="1" spans="1:7" x14ac:dyDescent="0.25">
      <c r="A57" s="4" t="s">
        <v>100</v>
      </c>
      <c r="B57" s="4"/>
      <c r="C57" s="4"/>
      <c r="D57" s="4"/>
      <c r="E57" s="4"/>
      <c r="F57" s="4"/>
      <c r="G57" s="4"/>
    </row>
    <row r="58" ht="26" customHeight="1" spans="1:7" x14ac:dyDescent="0.25">
      <c r="A58" s="5" t="s">
        <v>101</v>
      </c>
      <c r="B58" s="5" t="s">
        <v>102</v>
      </c>
      <c r="C58" s="5" t="s">
        <v>103</v>
      </c>
      <c r="D58" s="5" t="s">
        <v>104</v>
      </c>
      <c r="E58" s="5" t="s">
        <v>21</v>
      </c>
      <c r="F58" s="5" t="s">
        <v>4</v>
      </c>
      <c r="G58" s="5" t="s">
        <v>4</v>
      </c>
    </row>
    <row r="59" ht="21" customHeight="1" spans="1:7" x14ac:dyDescent="0.25">
      <c r="A59" s="3" t="s">
        <v>105</v>
      </c>
      <c r="B59" s="3" t="s">
        <v>4</v>
      </c>
      <c r="C59" s="3" t="s">
        <v>4</v>
      </c>
      <c r="D59" s="3" t="s">
        <v>4</v>
      </c>
      <c r="E59" s="3" t="s">
        <v>4</v>
      </c>
      <c r="F59" s="3" t="s">
        <v>4</v>
      </c>
      <c r="G59" s="3" t="s">
        <v>4</v>
      </c>
    </row>
    <row r="60" ht="21" customHeight="1" spans="1:7" x14ac:dyDescent="0.25">
      <c r="A60" s="3" t="s">
        <v>106</v>
      </c>
      <c r="B60" s="3" t="s">
        <v>4</v>
      </c>
      <c r="C60" s="3" t="s">
        <v>4</v>
      </c>
      <c r="D60" s="3" t="s">
        <v>4</v>
      </c>
      <c r="E60" s="3" t="s">
        <v>4</v>
      </c>
      <c r="F60" s="3" t="s">
        <v>4</v>
      </c>
      <c r="G60" s="3" t="s">
        <v>4</v>
      </c>
    </row>
    <row r="61" ht="21" customHeight="1" spans="1:7" x14ac:dyDescent="0.25">
      <c r="A61" s="3"/>
      <c r="B61" s="3"/>
      <c r="C61" s="3"/>
      <c r="D61" s="3"/>
      <c r="E61" s="3"/>
      <c r="F61" s="3"/>
      <c r="G61" s="3"/>
    </row>
    <row r="62" ht="23" customHeight="1" spans="1:7" x14ac:dyDescent="0.25">
      <c r="A62" s="4"/>
      <c r="B62" s="4"/>
      <c r="C62" s="4"/>
      <c r="D62" s="4"/>
      <c r="E62" s="4"/>
      <c r="F62" s="4"/>
      <c r="G62" s="4"/>
    </row>
    <row r="63" ht="26" customHeight="1" spans="1:7" x14ac:dyDescent="0.25">
      <c r="A63" s="5"/>
      <c r="B63" s="5"/>
      <c r="C63" s="5"/>
      <c r="D63" s="5"/>
      <c r="E63" s="5"/>
      <c r="F63" s="5"/>
      <c r="G63" s="5"/>
    </row>
    <row r="64" ht="42" customHeight="1" spans="1:7" x14ac:dyDescent="0.25">
      <c r="A64" s="3"/>
      <c r="B64" s="3"/>
      <c r="C64" s="3"/>
      <c r="D64" s="3"/>
      <c r="E64" s="3"/>
      <c r="F64" s="3"/>
      <c r="G64" s="3"/>
    </row>
    <row r="65" ht="42" customHeight="1" spans="1:7" x14ac:dyDescent="0.25">
      <c r="A65" s="3"/>
      <c r="B65" s="3"/>
      <c r="C65" s="3"/>
      <c r="D65" s="3"/>
      <c r="E65" s="3"/>
      <c r="F65" s="3"/>
      <c r="G65" s="3"/>
    </row>
    <row r="66" ht="42" customHeight="1" spans="1:7" x14ac:dyDescent="0.25">
      <c r="A66" s="3"/>
      <c r="B66" s="3"/>
      <c r="C66" s="3"/>
      <c r="D66" s="3"/>
      <c r="E66" s="3"/>
      <c r="F66" s="3"/>
      <c r="G66" s="3"/>
    </row>
  </sheetData>
  <mergeCells count="9">
    <mergeCell ref="A1:G1"/>
    <mergeCell ref="A6:G6"/>
    <mergeCell ref="A13:G13"/>
    <mergeCell ref="A19:G19"/>
    <mergeCell ref="A23:G23"/>
    <mergeCell ref="A43:G43"/>
    <mergeCell ref="A50:G50"/>
    <mergeCell ref="A57:G57"/>
    <mergeCell ref="A62:G62"/>
  </mergeCells>
  <printOptions horizontalCentered="1"/>
  <pageMargins left="0.25" right="0.25" top="0.55" bottom="0.45" header="0.25" footer="0.25"/>
  <pageSetup orientation="portrait" fitToWidth="1" fitToHeight="0"/>
  <headerFooter>
    <oddHeader>&amp;C&amp;"Arial,Bold"&amp;14Summary</oddHeader>
    <oddFooter>&amp;L&amp;"Arial"&amp;9Loan Application Summary&amp;C&amp;"Arial"&amp;9Page &amp;P of &amp;N&amp;R&amp;"Arial"&amp;9Generated by Cred2Tech</oddFooter>
  </headerFooter>
  <drawing r:id="rId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5F46"/>
    <pageSetUpPr fitToPage="1"/>
  </sheetPr>
  <dimension ref="A1:H218"/>
  <sheetViews>
    <sheetView workbookViewId="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2" max="2" width="46.54296875" customWidth="1"/>
    <col min="3" max="3" width="13.36328125" customWidth="1"/>
    <col min="4" max="4" width="10.6328125" customWidth="1"/>
    <col min="7" max="7" width="11.453125" customWidth="1"/>
    <col min="8" max="8" width="13.08984375" customWidth="1"/>
  </cols>
  <sheetData>
    <row r="1" ht="34" customHeight="1" spans="1:8" x14ac:dyDescent="0.25">
      <c r="A1" s="1" t="s">
        <v>208</v>
      </c>
      <c r="B1" s="1"/>
      <c r="C1" s="1"/>
      <c r="D1" s="1"/>
      <c r="E1" s="1"/>
      <c r="F1" s="1"/>
      <c r="G1" s="1"/>
      <c r="H1" s="1"/>
    </row>
    <row r="2" ht="15" customHeight="1" spans="1:8" x14ac:dyDescent="0.25">
      <c r="A2" s="19" t="s">
        <v>123</v>
      </c>
      <c r="B2" s="19"/>
      <c r="C2" s="19"/>
      <c r="D2" s="19"/>
      <c r="E2" s="19"/>
      <c r="F2" s="20">
        <v>2022</v>
      </c>
      <c r="G2" s="20"/>
      <c r="H2" s="21">
        <v>2023</v>
      </c>
    </row>
    <row r="3" spans="1:8" x14ac:dyDescent="0.25">
      <c r="A3" s="22" t="s">
        <v>209</v>
      </c>
      <c r="B3" s="22"/>
      <c r="C3" s="22"/>
      <c r="D3" s="22"/>
      <c r="E3" s="22"/>
      <c r="F3" s="23" t="s">
        <v>210</v>
      </c>
      <c r="G3" s="23"/>
      <c r="H3" s="24" t="s">
        <v>211</v>
      </c>
    </row>
    <row r="4" spans="1:8" x14ac:dyDescent="0.25">
      <c r="A4" s="22" t="s">
        <v>212</v>
      </c>
      <c r="B4" s="22"/>
      <c r="C4" s="22"/>
      <c r="D4" s="22"/>
      <c r="E4" s="22"/>
      <c r="F4" s="23" t="s">
        <v>213</v>
      </c>
      <c r="G4" s="23"/>
      <c r="H4" s="24" t="s">
        <v>213</v>
      </c>
    </row>
    <row r="5" ht="29" customHeight="1" spans="1:8" x14ac:dyDescent="0.25">
      <c r="A5" s="22" t="s">
        <v>214</v>
      </c>
      <c r="B5" s="22"/>
      <c r="C5" s="22"/>
      <c r="D5" s="22"/>
      <c r="E5" s="22"/>
      <c r="F5" s="23" t="s">
        <v>215</v>
      </c>
      <c r="G5" s="23"/>
      <c r="H5" s="24" t="s">
        <v>215</v>
      </c>
    </row>
    <row r="6" spans="1:8" x14ac:dyDescent="0.25">
      <c r="A6" s="22" t="s">
        <v>102</v>
      </c>
      <c r="B6" s="22"/>
      <c r="C6" s="22"/>
      <c r="D6" s="22"/>
      <c r="E6" s="22"/>
      <c r="F6" s="23" t="s">
        <v>4</v>
      </c>
      <c r="G6" s="23"/>
      <c r="H6" s="23" t="s">
        <v>4</v>
      </c>
    </row>
    <row r="7" spans="1:8" x14ac:dyDescent="0.25">
      <c r="A7" s="22" t="s">
        <v>216</v>
      </c>
      <c r="B7" s="22"/>
      <c r="C7" s="22"/>
      <c r="D7" s="22"/>
      <c r="E7" s="22"/>
      <c r="F7" s="23"/>
      <c r="G7" s="23"/>
      <c r="H7" s="24"/>
    </row>
    <row r="8" spans="1:8" x14ac:dyDescent="0.25">
      <c r="A8" s="22" t="s">
        <v>217</v>
      </c>
      <c r="B8" s="22"/>
      <c r="C8" s="22"/>
      <c r="D8" s="22"/>
      <c r="E8" s="22"/>
      <c r="F8" s="23" t="s">
        <v>218</v>
      </c>
      <c r="G8" s="23"/>
      <c r="H8" s="23" t="s">
        <v>218</v>
      </c>
    </row>
    <row r="9" spans="1:8" x14ac:dyDescent="0.25">
      <c r="A9" s="22" t="s">
        <v>219</v>
      </c>
      <c r="B9" s="22"/>
      <c r="C9" s="22"/>
      <c r="D9" s="22"/>
      <c r="E9" s="22"/>
      <c r="F9" s="23" t="s">
        <v>220</v>
      </c>
      <c r="G9" s="23"/>
      <c r="H9" s="24" t="s">
        <v>220</v>
      </c>
    </row>
    <row r="10" spans="1:8" x14ac:dyDescent="0.25">
      <c r="A10" s="22" t="s">
        <v>221</v>
      </c>
      <c r="B10" s="22"/>
      <c r="C10" s="22"/>
      <c r="D10" s="22"/>
      <c r="E10" s="22"/>
      <c r="F10" s="23"/>
      <c r="G10" s="23"/>
      <c r="H10" s="24" t="s">
        <v>28</v>
      </c>
    </row>
    <row r="11" spans="1:8" x14ac:dyDescent="0.25">
      <c r="A11" s="22" t="s">
        <v>222</v>
      </c>
      <c r="B11" s="22"/>
      <c r="C11" s="22"/>
      <c r="D11" s="22"/>
      <c r="E11" s="22"/>
      <c r="F11" s="23" t="s">
        <v>4</v>
      </c>
      <c r="G11" s="23"/>
      <c r="H11" s="23" t="s">
        <v>4</v>
      </c>
    </row>
    <row r="12" spans="1:8" x14ac:dyDescent="0.25">
      <c r="A12" s="22" t="s">
        <v>18</v>
      </c>
      <c r="B12" s="22"/>
      <c r="C12" s="22"/>
      <c r="D12" s="22"/>
      <c r="E12" s="22"/>
      <c r="F12" s="23" t="s">
        <v>24</v>
      </c>
      <c r="G12" s="23"/>
      <c r="H12" s="23" t="s">
        <v>24</v>
      </c>
    </row>
    <row r="13" spans="1:8" x14ac:dyDescent="0.25">
      <c r="A13" s="25" t="s">
        <v>223</v>
      </c>
      <c r="B13" s="25"/>
      <c r="C13" s="25"/>
      <c r="D13" s="25"/>
      <c r="E13" s="25"/>
      <c r="F13" s="26" t="s">
        <v>4</v>
      </c>
      <c r="G13" s="26"/>
      <c r="H13" s="26" t="s">
        <v>4</v>
      </c>
    </row>
    <row r="14" ht="29" customHeight="1" spans="1:8" x14ac:dyDescent="0.25">
      <c r="A14" s="22" t="s">
        <v>224</v>
      </c>
      <c r="B14" s="22"/>
      <c r="C14" s="22"/>
      <c r="D14" s="22"/>
      <c r="E14" s="22"/>
      <c r="F14" s="27" t="s">
        <v>115</v>
      </c>
      <c r="G14" s="23"/>
      <c r="H14" s="27" t="s">
        <v>115</v>
      </c>
    </row>
    <row r="15" spans="1:8" x14ac:dyDescent="0.25">
      <c r="A15" s="22" t="s">
        <v>225</v>
      </c>
      <c r="B15" s="22"/>
      <c r="C15" s="22"/>
      <c r="D15" s="22"/>
      <c r="E15" s="22"/>
      <c r="F15" s="28" t="s">
        <v>226</v>
      </c>
      <c r="G15" s="28"/>
      <c r="H15" s="28" t="s">
        <v>226</v>
      </c>
    </row>
    <row r="16" spans="1:8" x14ac:dyDescent="0.25">
      <c r="A16" s="22" t="s">
        <v>227</v>
      </c>
      <c r="B16" s="22"/>
      <c r="C16" s="22"/>
      <c r="D16" s="22"/>
      <c r="E16" s="22"/>
      <c r="F16" s="23"/>
      <c r="G16" s="23"/>
      <c r="H16" s="24"/>
    </row>
    <row r="17" spans="1:8" x14ac:dyDescent="0.25">
      <c r="A17" s="22" t="s">
        <v>228</v>
      </c>
      <c r="B17" s="22"/>
      <c r="C17" s="22"/>
      <c r="D17" s="22"/>
      <c r="E17" s="22"/>
      <c r="F17" s="23" t="s">
        <v>229</v>
      </c>
      <c r="G17" s="23"/>
      <c r="H17" s="24" t="s">
        <v>229</v>
      </c>
    </row>
    <row r="18" spans="1:8" x14ac:dyDescent="0.25">
      <c r="A18" s="22" t="s">
        <v>230</v>
      </c>
      <c r="B18" s="22"/>
      <c r="C18" s="22"/>
      <c r="D18" s="22"/>
      <c r="E18" s="22"/>
      <c r="F18" s="23"/>
      <c r="G18" s="23"/>
      <c r="H18" s="24"/>
    </row>
    <row r="19" spans="1:8" x14ac:dyDescent="0.25">
      <c r="A19" s="22" t="s">
        <v>231</v>
      </c>
      <c r="B19" s="22"/>
      <c r="C19" s="22"/>
      <c r="D19" s="22"/>
      <c r="E19" s="22"/>
      <c r="F19" s="23"/>
      <c r="G19" s="23"/>
      <c r="H19" s="24"/>
    </row>
    <row r="20" spans="1:8" x14ac:dyDescent="0.25">
      <c r="A20" s="22" t="s">
        <v>232</v>
      </c>
      <c r="B20" s="22"/>
      <c r="C20" s="22"/>
      <c r="D20" s="22"/>
      <c r="E20" s="22"/>
      <c r="F20" s="23" t="s">
        <v>233</v>
      </c>
      <c r="G20" s="23"/>
      <c r="H20" s="24" t="s">
        <v>234</v>
      </c>
    </row>
    <row r="21" spans="1:8" x14ac:dyDescent="0.25">
      <c r="A21" s="22" t="s">
        <v>235</v>
      </c>
      <c r="B21" s="22"/>
      <c r="C21" s="22"/>
      <c r="D21" s="22"/>
      <c r="E21" s="22"/>
      <c r="F21" s="23"/>
      <c r="G21" s="23"/>
      <c r="H21" s="24"/>
    </row>
    <row r="22" spans="1:8" x14ac:dyDescent="0.25">
      <c r="A22" s="22" t="s">
        <v>236</v>
      </c>
      <c r="B22" s="22"/>
      <c r="C22" s="22"/>
      <c r="D22" s="22"/>
      <c r="E22" s="22"/>
      <c r="F22" s="23" t="s">
        <v>237</v>
      </c>
      <c r="G22" s="23"/>
      <c r="H22" s="24" t="s">
        <v>4</v>
      </c>
    </row>
    <row r="23" spans="1:8" x14ac:dyDescent="0.25">
      <c r="A23" s="22" t="s">
        <v>238</v>
      </c>
      <c r="B23" s="22"/>
      <c r="C23" s="22"/>
      <c r="D23" s="22"/>
      <c r="E23" s="22"/>
      <c r="F23" s="23"/>
      <c r="G23" s="23"/>
      <c r="H23" s="24"/>
    </row>
    <row r="24" spans="1:8" x14ac:dyDescent="0.25">
      <c r="A24" s="22" t="s">
        <v>239</v>
      </c>
      <c r="B24" s="22"/>
      <c r="C24" s="22"/>
      <c r="D24" s="22"/>
      <c r="E24" s="22"/>
      <c r="F24" s="23"/>
      <c r="G24" s="23"/>
      <c r="H24" s="24"/>
    </row>
    <row r="25" spans="1:8" x14ac:dyDescent="0.25">
      <c r="A25" s="22" t="s">
        <v>240</v>
      </c>
      <c r="B25" s="22"/>
      <c r="C25" s="22"/>
      <c r="D25" s="22"/>
      <c r="E25" s="22"/>
      <c r="F25" s="23"/>
      <c r="G25" s="23"/>
      <c r="H25" s="24"/>
    </row>
    <row r="26" spans="1:8" x14ac:dyDescent="0.25">
      <c r="A26" s="22" t="s">
        <v>241</v>
      </c>
      <c r="B26" s="22"/>
      <c r="C26" s="22"/>
      <c r="D26" s="22"/>
      <c r="E26" s="22"/>
      <c r="F26" s="23"/>
      <c r="G26" s="23"/>
      <c r="H26" s="24"/>
    </row>
    <row r="27" spans="1:8" x14ac:dyDescent="0.25">
      <c r="A27" s="22" t="s">
        <v>242</v>
      </c>
      <c r="B27" s="22"/>
      <c r="C27" s="22"/>
      <c r="D27" s="22"/>
      <c r="E27" s="22"/>
      <c r="F27" s="23"/>
      <c r="G27" s="23"/>
      <c r="H27" s="24"/>
    </row>
    <row r="28" spans="1:8" x14ac:dyDescent="0.25">
      <c r="A28" s="22" t="s">
        <v>243</v>
      </c>
      <c r="B28" s="22"/>
      <c r="C28" s="22"/>
      <c r="D28" s="22"/>
      <c r="E28" s="22"/>
      <c r="F28" s="23"/>
      <c r="G28" s="23"/>
      <c r="H28" s="24"/>
    </row>
    <row r="29" spans="1:8" x14ac:dyDescent="0.25">
      <c r="A29" s="22" t="s">
        <v>244</v>
      </c>
      <c r="B29" s="22"/>
      <c r="C29" s="22"/>
      <c r="D29" s="22"/>
      <c r="E29" s="22"/>
      <c r="F29" s="23"/>
      <c r="G29" s="23"/>
      <c r="H29" s="24"/>
    </row>
    <row r="30" spans="1:8" x14ac:dyDescent="0.25">
      <c r="A30" s="22" t="s">
        <v>245</v>
      </c>
      <c r="B30" s="22"/>
      <c r="C30" s="22"/>
      <c r="D30" s="22"/>
      <c r="E30" s="22"/>
      <c r="F30" s="23"/>
      <c r="G30" s="23"/>
      <c r="H30" s="24"/>
    </row>
    <row r="31" spans="1:8" x14ac:dyDescent="0.25">
      <c r="A31" s="22" t="s">
        <v>246</v>
      </c>
      <c r="B31" s="22"/>
      <c r="C31" s="22"/>
      <c r="D31" s="22"/>
      <c r="E31" s="22"/>
      <c r="F31" s="23"/>
      <c r="G31" s="23"/>
      <c r="H31" s="24"/>
    </row>
    <row r="32" spans="1:8" x14ac:dyDescent="0.25">
      <c r="A32" s="22" t="s">
        <v>247</v>
      </c>
      <c r="B32" s="22"/>
      <c r="C32" s="22"/>
      <c r="D32" s="22"/>
      <c r="E32" s="22"/>
      <c r="F32" s="23"/>
      <c r="G32" s="23"/>
      <c r="H32" s="24"/>
    </row>
    <row r="33" spans="1:8" x14ac:dyDescent="0.25">
      <c r="A33" s="22" t="s">
        <v>248</v>
      </c>
      <c r="B33" s="22"/>
      <c r="C33" s="22"/>
      <c r="D33" s="22"/>
      <c r="E33" s="22"/>
      <c r="F33" s="23"/>
      <c r="G33" s="23"/>
      <c r="H33" s="24"/>
    </row>
    <row r="34" ht="15" customHeight="1" spans="1:8" x14ac:dyDescent="0.25">
      <c r="A34" s="29" t="s">
        <v>249</v>
      </c>
      <c r="B34" s="29"/>
      <c r="C34" s="29"/>
      <c r="D34" s="29"/>
      <c r="E34" s="29"/>
      <c r="F34" s="30"/>
      <c r="G34" s="30"/>
      <c r="H34" s="31"/>
    </row>
    <row r="35" ht="15" customHeight="1" x14ac:dyDescent="0.25"/>
    <row r="36" ht="15" customHeight="1" spans="1:8" x14ac:dyDescent="0.25">
      <c r="A36" s="32" t="s">
        <v>250</v>
      </c>
      <c r="B36" s="32"/>
      <c r="C36" s="32"/>
      <c r="D36" s="32"/>
      <c r="E36" s="32"/>
      <c r="F36" s="32"/>
      <c r="G36" s="32"/>
      <c r="H36" s="32"/>
    </row>
    <row r="37" ht="15" customHeight="1" spans="1:8" x14ac:dyDescent="0.25">
      <c r="A37" s="33"/>
      <c r="B37" s="33"/>
      <c r="C37" s="33"/>
      <c r="D37" s="33"/>
      <c r="E37" s="33"/>
      <c r="F37" s="33"/>
      <c r="G37" s="34">
        <v>2022</v>
      </c>
      <c r="H37" s="35">
        <v>2023</v>
      </c>
    </row>
    <row r="38" spans="1:8" x14ac:dyDescent="0.25">
      <c r="A38" s="36" t="s">
        <v>251</v>
      </c>
      <c r="B38" s="36"/>
      <c r="C38" s="36"/>
      <c r="D38" s="36"/>
      <c r="E38" s="36"/>
      <c r="F38" s="37" t="s">
        <v>252</v>
      </c>
      <c r="G38" s="38" t="s">
        <v>161</v>
      </c>
      <c r="H38" s="8" t="s">
        <v>161</v>
      </c>
    </row>
    <row r="39" spans="1:8" x14ac:dyDescent="0.25">
      <c r="A39" s="36" t="s">
        <v>253</v>
      </c>
      <c r="B39" s="36"/>
      <c r="C39" s="36"/>
      <c r="D39" s="36"/>
      <c r="E39" s="36"/>
      <c r="F39" s="37" t="s">
        <v>254</v>
      </c>
      <c r="G39" s="38" t="s">
        <v>161</v>
      </c>
      <c r="H39" s="8" t="s">
        <v>161</v>
      </c>
    </row>
    <row r="40" spans="1:8" x14ac:dyDescent="0.25">
      <c r="A40" s="36" t="s">
        <v>255</v>
      </c>
      <c r="B40" s="36"/>
      <c r="C40" s="36"/>
      <c r="D40" s="36"/>
      <c r="E40" s="36"/>
      <c r="F40" s="37" t="s">
        <v>256</v>
      </c>
      <c r="G40" s="39">
        <v>1150200</v>
      </c>
      <c r="H40" s="8">
        <v>1437483</v>
      </c>
    </row>
    <row r="41" spans="1:8" x14ac:dyDescent="0.25">
      <c r="A41" s="36" t="s">
        <v>257</v>
      </c>
      <c r="B41" s="36"/>
      <c r="C41" s="36"/>
      <c r="D41" s="36"/>
      <c r="E41" s="36"/>
      <c r="F41" s="37" t="s">
        <v>258</v>
      </c>
      <c r="G41" s="38" t="s">
        <v>161</v>
      </c>
      <c r="H41" s="8" t="s">
        <v>161</v>
      </c>
    </row>
    <row r="42" spans="1:8" x14ac:dyDescent="0.25">
      <c r="A42" s="36" t="s">
        <v>259</v>
      </c>
      <c r="B42" s="36"/>
      <c r="C42" s="36"/>
      <c r="D42" s="36"/>
      <c r="E42" s="36"/>
      <c r="F42" s="37" t="s">
        <v>260</v>
      </c>
      <c r="G42" s="38" t="s">
        <v>161</v>
      </c>
      <c r="H42" s="8" t="s">
        <v>161</v>
      </c>
    </row>
    <row r="43" spans="1:8" x14ac:dyDescent="0.25">
      <c r="A43" s="36" t="s">
        <v>261</v>
      </c>
      <c r="B43" s="36"/>
      <c r="C43" s="36"/>
      <c r="D43" s="36"/>
      <c r="E43" s="36"/>
      <c r="F43" s="37" t="s">
        <v>262</v>
      </c>
      <c r="G43" s="38" t="s">
        <v>161</v>
      </c>
      <c r="H43" s="8">
        <v>1437483</v>
      </c>
    </row>
    <row r="44" spans="1:8" x14ac:dyDescent="0.25">
      <c r="A44" s="36" t="s">
        <v>263</v>
      </c>
      <c r="B44" s="36"/>
      <c r="C44" s="36"/>
      <c r="D44" s="36"/>
      <c r="E44" s="36"/>
      <c r="F44" s="37" t="s">
        <v>264</v>
      </c>
      <c r="G44" s="39">
        <v>1150200</v>
      </c>
      <c r="H44" s="8">
        <v>1437483</v>
      </c>
    </row>
    <row r="45" spans="1:8" x14ac:dyDescent="0.25">
      <c r="A45" s="36" t="s">
        <v>265</v>
      </c>
      <c r="B45" s="36"/>
      <c r="C45" s="36"/>
      <c r="D45" s="36"/>
      <c r="E45" s="36"/>
      <c r="F45" s="37" t="s">
        <v>266</v>
      </c>
      <c r="G45" s="38" t="s">
        <v>161</v>
      </c>
      <c r="H45" s="8" t="s">
        <v>161</v>
      </c>
    </row>
    <row r="46" spans="1:8" x14ac:dyDescent="0.25">
      <c r="A46" s="36" t="s">
        <v>267</v>
      </c>
      <c r="B46" s="36"/>
      <c r="C46" s="36"/>
      <c r="D46" s="36"/>
      <c r="E46" s="36"/>
      <c r="F46" s="37" t="s">
        <v>268</v>
      </c>
      <c r="G46" s="39">
        <v>1150200</v>
      </c>
      <c r="H46" s="8">
        <v>1437483</v>
      </c>
    </row>
    <row r="47" spans="1:8" x14ac:dyDescent="0.25">
      <c r="A47" s="36" t="s">
        <v>269</v>
      </c>
      <c r="B47" s="36"/>
      <c r="C47" s="36"/>
      <c r="D47" s="36"/>
      <c r="E47" s="36"/>
      <c r="F47" s="37" t="s">
        <v>270</v>
      </c>
      <c r="G47" s="39">
        <v>120750</v>
      </c>
      <c r="H47" s="8">
        <v>68000</v>
      </c>
    </row>
    <row r="48" spans="1:8" x14ac:dyDescent="0.25">
      <c r="A48" s="36" t="s">
        <v>271</v>
      </c>
      <c r="B48" s="36"/>
      <c r="C48" s="36"/>
      <c r="D48" s="36"/>
      <c r="E48" s="36"/>
      <c r="F48" s="37" t="s">
        <v>272</v>
      </c>
      <c r="G48" s="38" t="s">
        <v>161</v>
      </c>
      <c r="H48" s="8" t="s">
        <v>161</v>
      </c>
    </row>
    <row r="49" spans="1:8" x14ac:dyDescent="0.25">
      <c r="A49" s="36" t="s">
        <v>273</v>
      </c>
      <c r="B49" s="36"/>
      <c r="C49" s="36"/>
      <c r="D49" s="36"/>
      <c r="E49" s="36"/>
      <c r="F49" s="37" t="s">
        <v>274</v>
      </c>
      <c r="G49" s="38" t="s">
        <v>161</v>
      </c>
      <c r="H49" s="8" t="s">
        <v>161</v>
      </c>
    </row>
    <row r="50" spans="1:8" x14ac:dyDescent="0.25">
      <c r="A50" s="36" t="s">
        <v>275</v>
      </c>
      <c r="B50" s="36"/>
      <c r="C50" s="36"/>
      <c r="D50" s="36"/>
      <c r="E50" s="36"/>
      <c r="F50" s="37" t="s">
        <v>276</v>
      </c>
      <c r="G50" s="39">
        <v>1029450</v>
      </c>
      <c r="H50" s="8">
        <v>1437483</v>
      </c>
    </row>
    <row r="51" spans="1:8" x14ac:dyDescent="0.25">
      <c r="A51" s="36" t="s">
        <v>277</v>
      </c>
      <c r="B51" s="36"/>
      <c r="C51" s="36"/>
      <c r="D51" s="36"/>
      <c r="E51" s="36"/>
      <c r="F51" s="37" t="s">
        <v>278</v>
      </c>
      <c r="G51" s="38" t="s">
        <v>161</v>
      </c>
      <c r="H51" s="8" t="s">
        <v>161</v>
      </c>
    </row>
    <row r="52" spans="1:8" x14ac:dyDescent="0.25">
      <c r="A52" s="36" t="s">
        <v>279</v>
      </c>
      <c r="B52" s="36"/>
      <c r="C52" s="36"/>
      <c r="D52" s="36"/>
      <c r="E52" s="36"/>
      <c r="F52" s="37" t="s">
        <v>280</v>
      </c>
      <c r="G52" s="38" t="s">
        <v>161</v>
      </c>
      <c r="H52" s="8" t="s">
        <v>4</v>
      </c>
    </row>
    <row r="53" spans="1:8" x14ac:dyDescent="0.25">
      <c r="A53" s="36" t="s">
        <v>281</v>
      </c>
      <c r="B53" s="36"/>
      <c r="C53" s="36"/>
      <c r="D53" s="36"/>
      <c r="E53" s="36"/>
      <c r="F53" s="37" t="s">
        <v>282</v>
      </c>
      <c r="G53" s="39">
        <v>1029450</v>
      </c>
      <c r="H53" s="8">
        <v>1200980</v>
      </c>
    </row>
    <row r="54" spans="1:8" x14ac:dyDescent="0.25">
      <c r="A54" s="36" t="s">
        <v>283</v>
      </c>
      <c r="B54" s="36"/>
      <c r="C54" s="36"/>
      <c r="D54" s="36"/>
      <c r="E54" s="36"/>
      <c r="F54" s="37" t="s">
        <v>284</v>
      </c>
      <c r="G54" s="39">
        <v>1029450</v>
      </c>
      <c r="H54" s="8" t="s">
        <v>161</v>
      </c>
    </row>
    <row r="55" spans="1:8" x14ac:dyDescent="0.25">
      <c r="A55" s="40" t="s">
        <v>285</v>
      </c>
      <c r="B55" s="40"/>
      <c r="C55" s="40"/>
      <c r="D55" s="40"/>
      <c r="E55" s="40"/>
      <c r="F55" s="40"/>
      <c r="G55" s="40"/>
      <c r="H55" s="41"/>
    </row>
    <row r="56" spans="1:8" x14ac:dyDescent="0.25">
      <c r="A56" s="36" t="s">
        <v>286</v>
      </c>
      <c r="B56" s="36"/>
      <c r="C56" s="36"/>
      <c r="D56" s="36"/>
      <c r="E56" s="36"/>
      <c r="F56" s="37" t="s">
        <v>287</v>
      </c>
      <c r="G56" s="38" t="s">
        <v>161</v>
      </c>
      <c r="H56" s="8" t="s">
        <v>161</v>
      </c>
    </row>
    <row r="57" spans="1:8" x14ac:dyDescent="0.25">
      <c r="A57" s="36" t="s">
        <v>288</v>
      </c>
      <c r="B57" s="36"/>
      <c r="C57" s="36"/>
      <c r="D57" s="36"/>
      <c r="E57" s="36"/>
      <c r="F57" s="37" t="s">
        <v>289</v>
      </c>
      <c r="G57" s="39">
        <v>121335</v>
      </c>
      <c r="H57" s="8">
        <v>172794</v>
      </c>
    </row>
    <row r="58" spans="1:8" x14ac:dyDescent="0.25">
      <c r="A58" s="36" t="s">
        <v>290</v>
      </c>
      <c r="B58" s="36"/>
      <c r="C58" s="36"/>
      <c r="D58" s="36"/>
      <c r="E58" s="36"/>
      <c r="F58" s="37" t="s">
        <v>291</v>
      </c>
      <c r="G58" s="38" t="s">
        <v>161</v>
      </c>
      <c r="H58" s="8" t="s">
        <v>161</v>
      </c>
    </row>
    <row r="59" spans="1:8" x14ac:dyDescent="0.25">
      <c r="A59" s="36" t="s">
        <v>292</v>
      </c>
      <c r="B59" s="36"/>
      <c r="C59" s="36"/>
      <c r="D59" s="36"/>
      <c r="E59" s="36"/>
      <c r="F59" s="37" t="s">
        <v>293</v>
      </c>
      <c r="G59" s="39">
        <v>121335</v>
      </c>
      <c r="H59" s="8">
        <v>172794</v>
      </c>
    </row>
    <row r="60" spans="1:8" x14ac:dyDescent="0.25">
      <c r="A60" s="36" t="s">
        <v>294</v>
      </c>
      <c r="B60" s="36"/>
      <c r="C60" s="36"/>
      <c r="D60" s="36"/>
      <c r="E60" s="36"/>
      <c r="F60" s="37" t="s">
        <v>295</v>
      </c>
      <c r="G60" s="38" t="s">
        <v>161</v>
      </c>
      <c r="H60" s="8" t="s">
        <v>161</v>
      </c>
    </row>
    <row r="61" spans="1:8" x14ac:dyDescent="0.25">
      <c r="A61" s="36" t="s">
        <v>296</v>
      </c>
      <c r="B61" s="36"/>
      <c r="C61" s="36"/>
      <c r="D61" s="36"/>
      <c r="E61" s="36"/>
      <c r="F61" s="37" t="s">
        <v>297</v>
      </c>
      <c r="G61" s="39">
        <v>4853</v>
      </c>
      <c r="H61" s="8">
        <v>6912</v>
      </c>
    </row>
    <row r="62" spans="1:8" x14ac:dyDescent="0.25">
      <c r="A62" s="36" t="s">
        <v>298</v>
      </c>
      <c r="B62" s="36"/>
      <c r="C62" s="36"/>
      <c r="D62" s="36"/>
      <c r="E62" s="36"/>
      <c r="F62" s="37" t="s">
        <v>299</v>
      </c>
      <c r="G62" s="39">
        <v>126188</v>
      </c>
      <c r="H62" s="8">
        <v>179706</v>
      </c>
    </row>
    <row r="63" spans="1:8" x14ac:dyDescent="0.25">
      <c r="A63" s="36" t="s">
        <v>300</v>
      </c>
      <c r="B63" s="36"/>
      <c r="C63" s="36"/>
      <c r="D63" s="36"/>
      <c r="E63" s="36"/>
      <c r="F63" s="37" t="s">
        <v>301</v>
      </c>
      <c r="G63" s="39">
        <v>126188</v>
      </c>
      <c r="H63" s="8">
        <v>179706</v>
      </c>
    </row>
    <row r="64" spans="1:8" x14ac:dyDescent="0.25">
      <c r="A64" s="36" t="s">
        <v>302</v>
      </c>
      <c r="B64" s="36"/>
      <c r="C64" s="36"/>
      <c r="D64" s="36"/>
      <c r="E64" s="36"/>
      <c r="F64" s="37" t="s">
        <v>303</v>
      </c>
      <c r="G64" s="38" t="s">
        <v>161</v>
      </c>
      <c r="H64" s="8" t="s">
        <v>161</v>
      </c>
    </row>
    <row r="65" spans="1:8" x14ac:dyDescent="0.25">
      <c r="A65" s="36" t="s">
        <v>304</v>
      </c>
      <c r="B65" s="36"/>
      <c r="C65" s="36"/>
      <c r="D65" s="36"/>
      <c r="E65" s="36"/>
      <c r="F65" s="37" t="s">
        <v>305</v>
      </c>
      <c r="G65" s="39">
        <v>126188</v>
      </c>
      <c r="H65" s="8">
        <v>179706</v>
      </c>
    </row>
    <row r="66" spans="1:8" x14ac:dyDescent="0.25">
      <c r="A66" s="36" t="s">
        <v>306</v>
      </c>
      <c r="B66" s="36"/>
      <c r="C66" s="36"/>
      <c r="D66" s="36"/>
      <c r="E66" s="36"/>
      <c r="F66" s="37" t="s">
        <v>307</v>
      </c>
      <c r="G66" s="38" t="s">
        <v>161</v>
      </c>
      <c r="H66" s="8" t="s">
        <v>161</v>
      </c>
    </row>
    <row r="67" spans="1:8" x14ac:dyDescent="0.25">
      <c r="A67" s="36" t="s">
        <v>308</v>
      </c>
      <c r="B67" s="36"/>
      <c r="C67" s="36"/>
      <c r="D67" s="36"/>
      <c r="E67" s="36"/>
      <c r="F67" s="37" t="s">
        <v>309</v>
      </c>
      <c r="G67" s="38" t="s">
        <v>161</v>
      </c>
      <c r="H67" s="8" t="s">
        <v>161</v>
      </c>
    </row>
    <row r="68" spans="1:8" x14ac:dyDescent="0.25">
      <c r="A68" s="36" t="s">
        <v>310</v>
      </c>
      <c r="B68" s="36"/>
      <c r="C68" s="36"/>
      <c r="D68" s="36"/>
      <c r="E68" s="36"/>
      <c r="F68" s="37" t="s">
        <v>311</v>
      </c>
      <c r="G68" s="39">
        <v>126188</v>
      </c>
      <c r="H68" s="8">
        <v>179706</v>
      </c>
    </row>
    <row r="69" spans="1:8" x14ac:dyDescent="0.25">
      <c r="A69" s="36" t="s">
        <v>312</v>
      </c>
      <c r="B69" s="36"/>
      <c r="C69" s="36"/>
      <c r="D69" s="36"/>
      <c r="E69" s="36"/>
      <c r="F69" s="37" t="s">
        <v>313</v>
      </c>
      <c r="G69" s="38" t="s">
        <v>161</v>
      </c>
      <c r="H69" s="8" t="s">
        <v>161</v>
      </c>
    </row>
    <row r="70" spans="1:8" x14ac:dyDescent="0.25">
      <c r="A70" s="36" t="s">
        <v>314</v>
      </c>
      <c r="B70" s="36"/>
      <c r="C70" s="36"/>
      <c r="D70" s="36"/>
      <c r="E70" s="36"/>
      <c r="F70" s="37" t="s">
        <v>315</v>
      </c>
      <c r="G70" s="39">
        <v>126188</v>
      </c>
      <c r="H70" s="8">
        <v>179706</v>
      </c>
    </row>
    <row r="71" spans="1:8" x14ac:dyDescent="0.25">
      <c r="A71" s="36" t="s">
        <v>316</v>
      </c>
      <c r="B71" s="36"/>
      <c r="C71" s="36"/>
      <c r="D71" s="36"/>
      <c r="E71" s="36"/>
      <c r="F71" s="37" t="s">
        <v>317</v>
      </c>
      <c r="G71" s="39">
        <v>480875</v>
      </c>
      <c r="H71" s="8">
        <v>283350</v>
      </c>
    </row>
    <row r="72" spans="1:8" x14ac:dyDescent="0.25">
      <c r="A72" s="36" t="s">
        <v>318</v>
      </c>
      <c r="B72" s="36"/>
      <c r="C72" s="36"/>
      <c r="D72" s="36"/>
      <c r="E72" s="36"/>
      <c r="F72" s="37" t="s">
        <v>319</v>
      </c>
      <c r="G72" s="38" t="s">
        <v>161</v>
      </c>
      <c r="H72" s="8" t="s">
        <v>161</v>
      </c>
    </row>
    <row r="73" spans="1:8" x14ac:dyDescent="0.25">
      <c r="A73" s="36" t="s">
        <v>320</v>
      </c>
      <c r="B73" s="36"/>
      <c r="C73" s="36"/>
      <c r="D73" s="36"/>
      <c r="E73" s="36"/>
      <c r="F73" s="37" t="s">
        <v>321</v>
      </c>
      <c r="G73" s="39">
        <v>10397</v>
      </c>
      <c r="H73" s="8">
        <v>18240</v>
      </c>
    </row>
    <row r="74" spans="1:8" x14ac:dyDescent="0.25">
      <c r="A74" s="36" t="s">
        <v>322</v>
      </c>
      <c r="B74" s="36"/>
      <c r="C74" s="36"/>
      <c r="D74" s="36"/>
      <c r="E74" s="36"/>
      <c r="F74" s="37" t="s">
        <v>323</v>
      </c>
      <c r="G74" s="39">
        <v>491272</v>
      </c>
      <c r="H74" s="8">
        <v>301590</v>
      </c>
    </row>
    <row r="75" spans="1:8" x14ac:dyDescent="0.25">
      <c r="A75" s="36" t="s">
        <v>324</v>
      </c>
      <c r="B75" s="36"/>
      <c r="C75" s="36"/>
      <c r="D75" s="36"/>
      <c r="E75" s="36"/>
      <c r="F75" s="37" t="s">
        <v>325</v>
      </c>
      <c r="G75" s="38" t="s">
        <v>161</v>
      </c>
      <c r="H75" s="8" t="s">
        <v>161</v>
      </c>
    </row>
    <row r="76" ht="15" customHeight="1" spans="1:8" x14ac:dyDescent="0.25">
      <c r="A76" s="42" t="s">
        <v>326</v>
      </c>
      <c r="B76" s="42"/>
      <c r="C76" s="42"/>
      <c r="D76" s="42"/>
      <c r="E76" s="42"/>
      <c r="F76" s="43" t="s">
        <v>327</v>
      </c>
      <c r="G76" s="44">
        <v>365080</v>
      </c>
      <c r="H76" s="45">
        <v>121880</v>
      </c>
    </row>
    <row r="78" ht="15" customHeight="1" x14ac:dyDescent="0.25"/>
    <row r="79" ht="15" customHeight="1" spans="1:4" x14ac:dyDescent="0.25">
      <c r="A79" s="32" t="s">
        <v>328</v>
      </c>
      <c r="B79" s="32"/>
      <c r="C79" s="32"/>
      <c r="D79" s="32"/>
    </row>
    <row r="80" ht="15" customHeight="1" spans="1:4" x14ac:dyDescent="0.25">
      <c r="A80" s="46" t="s">
        <v>329</v>
      </c>
      <c r="B80" s="46" t="s">
        <v>123</v>
      </c>
      <c r="C80" s="47">
        <v>2022</v>
      </c>
      <c r="D80" s="48">
        <v>2023</v>
      </c>
    </row>
    <row r="81" spans="1:4" x14ac:dyDescent="0.25">
      <c r="A81" s="40" t="s">
        <v>330</v>
      </c>
      <c r="B81" s="40"/>
      <c r="C81" s="49"/>
      <c r="D81" s="50"/>
    </row>
    <row r="82" spans="1:4" x14ac:dyDescent="0.25">
      <c r="A82" s="51">
        <v>1</v>
      </c>
      <c r="B82" s="52" t="s">
        <v>331</v>
      </c>
      <c r="C82" s="39">
        <v>2646003</v>
      </c>
      <c r="D82" s="8" t="s">
        <v>161</v>
      </c>
    </row>
    <row r="83" spans="1:4" x14ac:dyDescent="0.25">
      <c r="A83" s="51">
        <v>2</v>
      </c>
      <c r="B83" s="52" t="s">
        <v>332</v>
      </c>
      <c r="C83" s="38" t="s">
        <v>161</v>
      </c>
      <c r="D83" s="8" t="s">
        <v>161</v>
      </c>
    </row>
    <row r="84" spans="1:4" x14ac:dyDescent="0.25">
      <c r="A84" s="51">
        <v>3</v>
      </c>
      <c r="B84" s="52" t="s">
        <v>333</v>
      </c>
      <c r="C84" s="38" t="s">
        <v>161</v>
      </c>
      <c r="D84" s="8" t="s">
        <v>161</v>
      </c>
    </row>
    <row r="85" ht="15" customHeight="1" spans="1:4" x14ac:dyDescent="0.25">
      <c r="A85" s="51">
        <v>4</v>
      </c>
      <c r="B85" s="52" t="s">
        <v>334</v>
      </c>
      <c r="C85" s="38" t="s">
        <v>161</v>
      </c>
      <c r="D85" s="8" t="s">
        <v>161</v>
      </c>
    </row>
    <row r="86" ht="15" customHeight="1" spans="1:4" x14ac:dyDescent="0.25">
      <c r="A86" s="53">
        <v>5</v>
      </c>
      <c r="B86" s="54" t="s">
        <v>335</v>
      </c>
      <c r="C86" s="55">
        <v>2646003</v>
      </c>
      <c r="D86" s="56" t="s">
        <v>161</v>
      </c>
    </row>
    <row r="87" spans="1:4" x14ac:dyDescent="0.25">
      <c r="A87" s="51">
        <v>6</v>
      </c>
      <c r="B87" s="52" t="s">
        <v>336</v>
      </c>
      <c r="C87" s="38" t="s">
        <v>161</v>
      </c>
      <c r="D87" s="8" t="s">
        <v>161</v>
      </c>
    </row>
    <row r="88" spans="1:4" x14ac:dyDescent="0.25">
      <c r="A88" s="51">
        <v>7</v>
      </c>
      <c r="B88" s="52" t="s">
        <v>337</v>
      </c>
      <c r="C88" s="38" t="s">
        <v>161</v>
      </c>
      <c r="D88" s="8" t="s">
        <v>161</v>
      </c>
    </row>
    <row r="89" spans="1:4" x14ac:dyDescent="0.25">
      <c r="A89" s="51">
        <v>8</v>
      </c>
      <c r="B89" s="52" t="s">
        <v>338</v>
      </c>
      <c r="C89" s="38" t="s">
        <v>161</v>
      </c>
      <c r="D89" s="8" t="s">
        <v>161</v>
      </c>
    </row>
    <row r="90" spans="1:4" x14ac:dyDescent="0.25">
      <c r="A90" s="51">
        <v>9</v>
      </c>
      <c r="B90" s="52" t="s">
        <v>339</v>
      </c>
      <c r="C90" s="38" t="s">
        <v>161</v>
      </c>
      <c r="D90" s="8" t="s">
        <v>161</v>
      </c>
    </row>
    <row r="91" spans="1:4" x14ac:dyDescent="0.25">
      <c r="A91" s="51">
        <v>10</v>
      </c>
      <c r="B91" s="52" t="s">
        <v>340</v>
      </c>
      <c r="C91" s="39">
        <v>10374143</v>
      </c>
      <c r="D91" s="8" t="s">
        <v>161</v>
      </c>
    </row>
    <row r="92" spans="1:4" x14ac:dyDescent="0.25">
      <c r="A92" s="51">
        <v>11</v>
      </c>
      <c r="B92" s="52" t="s">
        <v>341</v>
      </c>
      <c r="C92" s="38" t="s">
        <v>161</v>
      </c>
      <c r="D92" s="8" t="s">
        <v>161</v>
      </c>
    </row>
    <row r="93" spans="1:4" x14ac:dyDescent="0.25">
      <c r="A93" s="51">
        <v>12</v>
      </c>
      <c r="B93" s="52" t="s">
        <v>342</v>
      </c>
      <c r="C93" s="38" t="s">
        <v>161</v>
      </c>
      <c r="D93" s="8" t="s">
        <v>161</v>
      </c>
    </row>
    <row r="94" spans="1:4" x14ac:dyDescent="0.25">
      <c r="A94" s="51">
        <v>13</v>
      </c>
      <c r="B94" s="52" t="s">
        <v>343</v>
      </c>
      <c r="C94" s="38" t="s">
        <v>161</v>
      </c>
      <c r="D94" s="8" t="s">
        <v>161</v>
      </c>
    </row>
    <row r="95" spans="1:4" x14ac:dyDescent="0.25">
      <c r="A95" s="51">
        <v>14</v>
      </c>
      <c r="B95" s="52" t="s">
        <v>344</v>
      </c>
      <c r="C95" s="38" t="s">
        <v>161</v>
      </c>
      <c r="D95" s="8">
        <v>356200</v>
      </c>
    </row>
    <row r="96" spans="1:4" x14ac:dyDescent="0.25">
      <c r="A96" s="51">
        <v>15</v>
      </c>
      <c r="B96" s="52" t="s">
        <v>345</v>
      </c>
      <c r="C96" s="38" t="s">
        <v>161</v>
      </c>
      <c r="D96" s="8" t="s">
        <v>161</v>
      </c>
    </row>
    <row r="97" spans="1:4" x14ac:dyDescent="0.25">
      <c r="A97" s="51">
        <v>16</v>
      </c>
      <c r="B97" s="52" t="s">
        <v>346</v>
      </c>
      <c r="C97" s="38" t="s">
        <v>161</v>
      </c>
      <c r="D97" s="8" t="s">
        <v>161</v>
      </c>
    </row>
    <row r="98" spans="1:4" x14ac:dyDescent="0.25">
      <c r="A98" s="51">
        <v>17</v>
      </c>
      <c r="B98" s="52" t="s">
        <v>347</v>
      </c>
      <c r="C98" s="38" t="s">
        <v>161</v>
      </c>
      <c r="D98" s="8" t="s">
        <v>161</v>
      </c>
    </row>
    <row r="99" ht="15" customHeight="1" spans="1:4" x14ac:dyDescent="0.25">
      <c r="A99" s="51">
        <v>18</v>
      </c>
      <c r="B99" s="52" t="s">
        <v>348</v>
      </c>
      <c r="C99" s="38" t="s">
        <v>161</v>
      </c>
      <c r="D99" s="8" t="s">
        <v>161</v>
      </c>
    </row>
    <row r="100" ht="15" customHeight="1" spans="1:4" x14ac:dyDescent="0.25">
      <c r="A100" s="53">
        <v>19</v>
      </c>
      <c r="B100" s="54" t="s">
        <v>349</v>
      </c>
      <c r="C100" s="55">
        <v>10374143</v>
      </c>
      <c r="D100" s="55">
        <v>356200</v>
      </c>
    </row>
    <row r="101" spans="1:4" x14ac:dyDescent="0.25">
      <c r="A101" s="51">
        <v>20</v>
      </c>
      <c r="B101" s="52" t="s">
        <v>350</v>
      </c>
      <c r="C101" s="38" t="s">
        <v>161</v>
      </c>
      <c r="D101" s="8" t="s">
        <v>161</v>
      </c>
    </row>
    <row r="102" spans="1:4" x14ac:dyDescent="0.25">
      <c r="A102" s="51">
        <v>21</v>
      </c>
      <c r="B102" s="52" t="s">
        <v>351</v>
      </c>
      <c r="C102" s="38" t="s">
        <v>161</v>
      </c>
      <c r="D102" s="8" t="s">
        <v>161</v>
      </c>
    </row>
    <row r="103" spans="1:4" x14ac:dyDescent="0.25">
      <c r="A103" s="51">
        <v>22</v>
      </c>
      <c r="B103" s="52" t="s">
        <v>352</v>
      </c>
      <c r="C103" s="38" t="s">
        <v>161</v>
      </c>
      <c r="D103" s="8" t="s">
        <v>161</v>
      </c>
    </row>
    <row r="104" spans="1:4" x14ac:dyDescent="0.25">
      <c r="A104" s="51">
        <v>23</v>
      </c>
      <c r="B104" s="52" t="s">
        <v>353</v>
      </c>
      <c r="C104" s="38" t="s">
        <v>161</v>
      </c>
      <c r="D104" s="8" t="s">
        <v>161</v>
      </c>
    </row>
    <row r="105" spans="1:4" x14ac:dyDescent="0.25">
      <c r="A105" s="51">
        <v>24</v>
      </c>
      <c r="B105" s="52" t="s">
        <v>354</v>
      </c>
      <c r="C105" s="38" t="s">
        <v>161</v>
      </c>
      <c r="D105" s="8" t="s">
        <v>161</v>
      </c>
    </row>
    <row r="106" spans="1:4" x14ac:dyDescent="0.25">
      <c r="A106" s="51">
        <v>25</v>
      </c>
      <c r="B106" s="52" t="s">
        <v>355</v>
      </c>
      <c r="C106" s="39">
        <v>3364503</v>
      </c>
      <c r="D106" s="8" t="s">
        <v>161</v>
      </c>
    </row>
    <row r="107" spans="1:4" x14ac:dyDescent="0.25">
      <c r="A107" s="51">
        <v>26</v>
      </c>
      <c r="B107" s="52" t="s">
        <v>356</v>
      </c>
      <c r="C107" s="38" t="s">
        <v>161</v>
      </c>
      <c r="D107" s="8" t="s">
        <v>161</v>
      </c>
    </row>
    <row r="108" spans="1:4" x14ac:dyDescent="0.25">
      <c r="A108" s="51">
        <v>27</v>
      </c>
      <c r="B108" s="52" t="s">
        <v>357</v>
      </c>
      <c r="C108" s="38" t="s">
        <v>161</v>
      </c>
      <c r="D108" s="8" t="s">
        <v>161</v>
      </c>
    </row>
    <row r="109" ht="15" customHeight="1" spans="1:4" x14ac:dyDescent="0.25">
      <c r="A109" s="51">
        <v>28</v>
      </c>
      <c r="B109" s="52" t="s">
        <v>358</v>
      </c>
      <c r="C109" s="38" t="s">
        <v>161</v>
      </c>
      <c r="D109" s="8" t="s">
        <v>161</v>
      </c>
    </row>
    <row r="110" ht="15" customHeight="1" spans="1:4" x14ac:dyDescent="0.25">
      <c r="A110" s="53">
        <v>29</v>
      </c>
      <c r="B110" s="54" t="s">
        <v>359</v>
      </c>
      <c r="C110" s="55">
        <v>3364503</v>
      </c>
      <c r="D110" s="56" t="s">
        <v>161</v>
      </c>
    </row>
    <row r="111" ht="15" customHeight="1" spans="1:4" x14ac:dyDescent="0.25">
      <c r="A111" s="53">
        <v>30</v>
      </c>
      <c r="B111" s="54" t="s">
        <v>360</v>
      </c>
      <c r="C111" s="55">
        <v>13738646</v>
      </c>
      <c r="D111" s="55">
        <v>356200</v>
      </c>
    </row>
    <row r="112" ht="15" customHeight="1" spans="1:4" x14ac:dyDescent="0.25">
      <c r="A112" s="53">
        <v>31</v>
      </c>
      <c r="B112" s="54" t="s">
        <v>361</v>
      </c>
      <c r="C112" s="55">
        <v>16384649</v>
      </c>
      <c r="D112" s="55">
        <v>356200</v>
      </c>
    </row>
    <row r="113" ht="15" customHeight="1" spans="1:4" x14ac:dyDescent="0.25">
      <c r="A113" s="33" t="s">
        <v>362</v>
      </c>
      <c r="B113" s="33"/>
      <c r="C113" s="57"/>
      <c r="D113" s="58"/>
    </row>
    <row r="114" spans="1:4" x14ac:dyDescent="0.25">
      <c r="A114" s="51">
        <v>32</v>
      </c>
      <c r="B114" s="52" t="s">
        <v>363</v>
      </c>
      <c r="C114" s="39">
        <v>33167</v>
      </c>
      <c r="D114" s="8" t="s">
        <v>161</v>
      </c>
    </row>
    <row r="115" spans="1:4" x14ac:dyDescent="0.25">
      <c r="A115" s="51">
        <v>33</v>
      </c>
      <c r="B115" s="52" t="s">
        <v>364</v>
      </c>
      <c r="C115" s="38" t="s">
        <v>161</v>
      </c>
      <c r="D115" s="8" t="s">
        <v>161</v>
      </c>
    </row>
    <row r="116" spans="1:4" x14ac:dyDescent="0.25">
      <c r="A116" s="51">
        <v>34</v>
      </c>
      <c r="B116" s="52" t="s">
        <v>365</v>
      </c>
      <c r="C116" s="38" t="s">
        <v>161</v>
      </c>
      <c r="D116" s="8" t="s">
        <v>161</v>
      </c>
    </row>
    <row r="117" spans="1:4" x14ac:dyDescent="0.25">
      <c r="A117" s="51">
        <v>35</v>
      </c>
      <c r="B117" s="52" t="s">
        <v>366</v>
      </c>
      <c r="C117" s="38" t="s">
        <v>161</v>
      </c>
      <c r="D117" s="8" t="s">
        <v>161</v>
      </c>
    </row>
    <row r="118" spans="1:4" x14ac:dyDescent="0.25">
      <c r="A118" s="59">
        <v>36</v>
      </c>
      <c r="B118" s="60" t="s">
        <v>367</v>
      </c>
      <c r="C118" s="61">
        <v>33167</v>
      </c>
      <c r="D118" s="62" t="s">
        <v>161</v>
      </c>
    </row>
    <row r="119" spans="1:4" x14ac:dyDescent="0.25">
      <c r="A119" s="51">
        <v>37</v>
      </c>
      <c r="B119" s="52" t="s">
        <v>368</v>
      </c>
      <c r="C119" s="38" t="s">
        <v>161</v>
      </c>
      <c r="D119" s="8" t="s">
        <v>161</v>
      </c>
    </row>
    <row r="120" ht="15" customHeight="1" spans="1:4" x14ac:dyDescent="0.25">
      <c r="A120" s="51">
        <v>38</v>
      </c>
      <c r="B120" s="52" t="s">
        <v>369</v>
      </c>
      <c r="C120" s="38" t="s">
        <v>161</v>
      </c>
      <c r="D120" s="8" t="s">
        <v>161</v>
      </c>
    </row>
    <row r="121" ht="15" customHeight="1" spans="1:4" x14ac:dyDescent="0.25">
      <c r="A121" s="53">
        <v>39</v>
      </c>
      <c r="B121" s="54" t="s">
        <v>370</v>
      </c>
      <c r="C121" s="55">
        <v>33167</v>
      </c>
      <c r="D121" s="56" t="s">
        <v>161</v>
      </c>
    </row>
    <row r="122" spans="1:4" x14ac:dyDescent="0.25">
      <c r="A122" s="51">
        <v>40</v>
      </c>
      <c r="B122" s="52" t="s">
        <v>371</v>
      </c>
      <c r="C122" s="38" t="s">
        <v>161</v>
      </c>
      <c r="D122" s="8" t="s">
        <v>161</v>
      </c>
    </row>
    <row r="123" spans="1:4" x14ac:dyDescent="0.25">
      <c r="A123" s="51">
        <v>41</v>
      </c>
      <c r="B123" s="52" t="s">
        <v>372</v>
      </c>
      <c r="C123" s="38" t="s">
        <v>161</v>
      </c>
      <c r="D123" s="8">
        <v>796520</v>
      </c>
    </row>
    <row r="124" spans="1:4" x14ac:dyDescent="0.25">
      <c r="A124" s="51">
        <v>42</v>
      </c>
      <c r="B124" s="52" t="s">
        <v>373</v>
      </c>
      <c r="C124" s="38" t="s">
        <v>161</v>
      </c>
      <c r="D124" s="8" t="s">
        <v>161</v>
      </c>
    </row>
    <row r="125" spans="1:4" x14ac:dyDescent="0.25">
      <c r="A125" s="51">
        <v>43</v>
      </c>
      <c r="B125" s="52" t="s">
        <v>347</v>
      </c>
      <c r="C125" s="38" t="s">
        <v>161</v>
      </c>
      <c r="D125" s="8" t="s">
        <v>161</v>
      </c>
    </row>
    <row r="126" ht="15" customHeight="1" spans="1:4" x14ac:dyDescent="0.25">
      <c r="A126" s="51">
        <v>44</v>
      </c>
      <c r="B126" s="52" t="s">
        <v>374</v>
      </c>
      <c r="C126" s="38" t="s">
        <v>161</v>
      </c>
      <c r="D126" s="8" t="s">
        <v>161</v>
      </c>
    </row>
    <row r="127" ht="15" customHeight="1" spans="1:4" x14ac:dyDescent="0.25">
      <c r="A127" s="53">
        <v>45</v>
      </c>
      <c r="B127" s="54" t="s">
        <v>375</v>
      </c>
      <c r="C127" s="56" t="s">
        <v>161</v>
      </c>
      <c r="D127" s="55">
        <v>796520</v>
      </c>
    </row>
    <row r="128" spans="1:4" x14ac:dyDescent="0.25">
      <c r="A128" s="51">
        <v>46</v>
      </c>
      <c r="B128" s="52" t="s">
        <v>376</v>
      </c>
      <c r="C128" s="38" t="s">
        <v>161</v>
      </c>
      <c r="D128" s="8" t="s">
        <v>161</v>
      </c>
    </row>
    <row r="129" spans="1:4" x14ac:dyDescent="0.25">
      <c r="A129" s="51">
        <v>47</v>
      </c>
      <c r="B129" s="52" t="s">
        <v>377</v>
      </c>
      <c r="C129" s="39">
        <v>1415230</v>
      </c>
      <c r="D129" s="8" t="s">
        <v>161</v>
      </c>
    </row>
    <row r="130" spans="1:4" x14ac:dyDescent="0.25">
      <c r="A130" s="51">
        <v>48</v>
      </c>
      <c r="B130" s="52" t="s">
        <v>378</v>
      </c>
      <c r="C130" s="39">
        <v>2863873</v>
      </c>
      <c r="D130" s="8" t="s">
        <v>161</v>
      </c>
    </row>
    <row r="131" spans="1:4" x14ac:dyDescent="0.25">
      <c r="A131" s="51">
        <v>49</v>
      </c>
      <c r="B131" s="52" t="s">
        <v>379</v>
      </c>
      <c r="C131" s="39">
        <v>5457330</v>
      </c>
      <c r="D131" s="8">
        <v>12032</v>
      </c>
    </row>
    <row r="132" spans="1:4" x14ac:dyDescent="0.25">
      <c r="A132" s="51">
        <v>50</v>
      </c>
      <c r="B132" s="52" t="s">
        <v>356</v>
      </c>
      <c r="C132" s="38" t="s">
        <v>161</v>
      </c>
      <c r="D132" s="8" t="s">
        <v>161</v>
      </c>
    </row>
    <row r="133" spans="1:4" x14ac:dyDescent="0.25">
      <c r="A133" s="51">
        <v>51</v>
      </c>
      <c r="B133" s="52" t="s">
        <v>380</v>
      </c>
      <c r="C133" s="38" t="s">
        <v>161</v>
      </c>
      <c r="D133" s="8" t="s">
        <v>161</v>
      </c>
    </row>
    <row r="134" ht="15" customHeight="1" spans="1:4" x14ac:dyDescent="0.25">
      <c r="A134" s="51">
        <v>52</v>
      </c>
      <c r="B134" s="52" t="s">
        <v>381</v>
      </c>
      <c r="C134" s="39">
        <v>6615049</v>
      </c>
      <c r="D134" s="8" t="s">
        <v>161</v>
      </c>
    </row>
    <row r="135" ht="15" customHeight="1" spans="1:4" x14ac:dyDescent="0.25">
      <c r="A135" s="53">
        <v>53</v>
      </c>
      <c r="B135" s="54" t="s">
        <v>382</v>
      </c>
      <c r="C135" s="55">
        <v>16351482</v>
      </c>
      <c r="D135" s="55">
        <v>12032</v>
      </c>
    </row>
    <row r="136" ht="15" customHeight="1" spans="1:4" x14ac:dyDescent="0.25">
      <c r="A136" s="53">
        <v>54</v>
      </c>
      <c r="B136" s="54" t="s">
        <v>383</v>
      </c>
      <c r="C136" s="55">
        <v>16384649</v>
      </c>
      <c r="D136" s="55">
        <v>808552</v>
      </c>
    </row>
    <row r="137" ht="15" customHeight="1" spans="1:4" x14ac:dyDescent="0.25">
      <c r="A137" s="53">
        <v>55</v>
      </c>
      <c r="B137" s="54" t="s">
        <v>384</v>
      </c>
      <c r="C137" s="55">
        <v>2646003</v>
      </c>
      <c r="D137" s="55">
        <v>452352</v>
      </c>
    </row>
    <row r="139" ht="15" customHeight="1" x14ac:dyDescent="0.25"/>
    <row r="140" ht="15" customHeight="1" spans="1:5" x14ac:dyDescent="0.25">
      <c r="A140" s="63" t="s">
        <v>385</v>
      </c>
      <c r="B140" s="63"/>
      <c r="C140" s="63"/>
      <c r="D140" s="63"/>
      <c r="E140" s="64"/>
    </row>
    <row r="141" ht="15" customHeight="1" spans="1:5" x14ac:dyDescent="0.25">
      <c r="A141" s="46" t="s">
        <v>329</v>
      </c>
      <c r="B141" s="46" t="s">
        <v>123</v>
      </c>
      <c r="C141" s="47">
        <v>2022</v>
      </c>
      <c r="D141" s="48">
        <v>2023</v>
      </c>
      <c r="E141" s="48"/>
    </row>
    <row r="142" spans="1:5" x14ac:dyDescent="0.25">
      <c r="A142" s="51">
        <v>1</v>
      </c>
      <c r="B142" s="52" t="s">
        <v>386</v>
      </c>
      <c r="C142" s="39">
        <v>31615579</v>
      </c>
      <c r="D142" s="65" t="s">
        <v>161</v>
      </c>
      <c r="E142" s="65"/>
    </row>
    <row r="143" spans="1:5" x14ac:dyDescent="0.25">
      <c r="A143" s="51">
        <v>2</v>
      </c>
      <c r="B143" s="52" t="s">
        <v>387</v>
      </c>
      <c r="C143" s="38" t="s">
        <v>161</v>
      </c>
      <c r="D143" s="65" t="s">
        <v>161</v>
      </c>
      <c r="E143" s="65"/>
    </row>
    <row r="144" spans="1:5" x14ac:dyDescent="0.25">
      <c r="A144" s="51">
        <v>3</v>
      </c>
      <c r="B144" s="52" t="s">
        <v>388</v>
      </c>
      <c r="C144" s="38" t="s">
        <v>161</v>
      </c>
      <c r="D144" s="65" t="s">
        <v>161</v>
      </c>
      <c r="E144" s="65"/>
    </row>
    <row r="145" ht="15" customHeight="1" spans="1:5" x14ac:dyDescent="0.25">
      <c r="A145" s="51">
        <v>4</v>
      </c>
      <c r="B145" s="52" t="s">
        <v>389</v>
      </c>
      <c r="C145" s="38" t="s">
        <v>161</v>
      </c>
      <c r="D145" s="65" t="s">
        <v>161</v>
      </c>
      <c r="E145" s="65"/>
    </row>
    <row r="146" ht="15" customHeight="1" spans="1:5" x14ac:dyDescent="0.25">
      <c r="A146" s="53">
        <v>5</v>
      </c>
      <c r="B146" s="54" t="s">
        <v>390</v>
      </c>
      <c r="C146" s="55">
        <v>31615579</v>
      </c>
      <c r="D146" s="56" t="s">
        <v>161</v>
      </c>
      <c r="E146" s="56"/>
    </row>
    <row r="147" spans="1:5" x14ac:dyDescent="0.25">
      <c r="A147" s="51">
        <v>6</v>
      </c>
      <c r="B147" s="52" t="s">
        <v>391</v>
      </c>
      <c r="C147" s="38" t="s">
        <v>161</v>
      </c>
      <c r="D147" s="65" t="s">
        <v>161</v>
      </c>
      <c r="E147" s="65"/>
    </row>
    <row r="148" spans="1:5" x14ac:dyDescent="0.25">
      <c r="A148" s="51">
        <v>7</v>
      </c>
      <c r="B148" s="52" t="s">
        <v>392</v>
      </c>
      <c r="C148" s="39">
        <v>1415230</v>
      </c>
      <c r="D148" s="65" t="s">
        <v>161</v>
      </c>
      <c r="E148" s="65"/>
    </row>
    <row r="149" spans="1:5" x14ac:dyDescent="0.25">
      <c r="A149" s="51">
        <v>8</v>
      </c>
      <c r="B149" s="52" t="s">
        <v>393</v>
      </c>
      <c r="C149" s="39">
        <v>24311626</v>
      </c>
      <c r="D149" s="65" t="s">
        <v>161</v>
      </c>
      <c r="E149" s="65"/>
    </row>
    <row r="150" spans="1:5" x14ac:dyDescent="0.25">
      <c r="A150" s="51">
        <v>9</v>
      </c>
      <c r="B150" s="52" t="s">
        <v>394</v>
      </c>
      <c r="C150" s="38" t="s">
        <v>161</v>
      </c>
      <c r="D150" s="65" t="s">
        <v>161</v>
      </c>
      <c r="E150" s="65"/>
    </row>
    <row r="151" spans="1:5" x14ac:dyDescent="0.25">
      <c r="A151" s="51">
        <v>10</v>
      </c>
      <c r="B151" s="52" t="s">
        <v>395</v>
      </c>
      <c r="C151" s="38" t="s">
        <v>161</v>
      </c>
      <c r="D151" s="65" t="s">
        <v>161</v>
      </c>
      <c r="E151" s="65"/>
    </row>
    <row r="152" spans="1:5" x14ac:dyDescent="0.25">
      <c r="A152" s="51">
        <v>11</v>
      </c>
      <c r="B152" s="52" t="s">
        <v>396</v>
      </c>
      <c r="C152" s="38" t="s">
        <v>161</v>
      </c>
      <c r="D152" s="65" t="s">
        <v>161</v>
      </c>
      <c r="E152" s="65"/>
    </row>
    <row r="153" ht="15" customHeight="1" spans="1:5" x14ac:dyDescent="0.25">
      <c r="A153" s="51">
        <v>12</v>
      </c>
      <c r="B153" s="52" t="s">
        <v>397</v>
      </c>
      <c r="C153" s="38" t="s">
        <v>161</v>
      </c>
      <c r="D153" s="65" t="s">
        <v>161</v>
      </c>
      <c r="E153" s="65"/>
    </row>
    <row r="154" ht="15" customHeight="1" spans="1:5" x14ac:dyDescent="0.25">
      <c r="A154" s="53">
        <v>13</v>
      </c>
      <c r="B154" s="54" t="s">
        <v>398</v>
      </c>
      <c r="C154" s="55">
        <v>8719183</v>
      </c>
      <c r="D154" s="56" t="s">
        <v>161</v>
      </c>
      <c r="E154" s="56"/>
    </row>
    <row r="155" spans="1:5" x14ac:dyDescent="0.25">
      <c r="A155" s="51">
        <v>14</v>
      </c>
      <c r="B155" s="52" t="s">
        <v>399</v>
      </c>
      <c r="C155" s="38" t="s">
        <v>161</v>
      </c>
      <c r="D155" s="65" t="s">
        <v>161</v>
      </c>
      <c r="E155" s="65"/>
    </row>
    <row r="156" spans="1:5" x14ac:dyDescent="0.25">
      <c r="A156" s="51">
        <v>15</v>
      </c>
      <c r="B156" s="52" t="s">
        <v>400</v>
      </c>
      <c r="C156" s="38" t="s">
        <v>161</v>
      </c>
      <c r="D156" s="65" t="s">
        <v>161</v>
      </c>
      <c r="E156" s="65"/>
    </row>
    <row r="157" spans="1:5" x14ac:dyDescent="0.25">
      <c r="A157" s="51">
        <v>16</v>
      </c>
      <c r="B157" s="52" t="s">
        <v>401</v>
      </c>
      <c r="C157" s="38" t="s">
        <v>161</v>
      </c>
      <c r="D157" s="65" t="s">
        <v>161</v>
      </c>
      <c r="E157" s="65"/>
    </row>
    <row r="158" spans="1:5" x14ac:dyDescent="0.25">
      <c r="A158" s="51">
        <v>17</v>
      </c>
      <c r="B158" s="52" t="s">
        <v>402</v>
      </c>
      <c r="C158" s="39">
        <v>2785407</v>
      </c>
      <c r="D158" s="65" t="s">
        <v>161</v>
      </c>
      <c r="E158" s="65"/>
    </row>
    <row r="159" spans="1:5" x14ac:dyDescent="0.25">
      <c r="A159" s="51">
        <v>18</v>
      </c>
      <c r="B159" s="52" t="s">
        <v>403</v>
      </c>
      <c r="C159" s="39">
        <v>1065320</v>
      </c>
      <c r="D159" s="65" t="s">
        <v>161</v>
      </c>
      <c r="E159" s="65"/>
    </row>
    <row r="160" spans="1:5" x14ac:dyDescent="0.25">
      <c r="A160" s="51">
        <v>19</v>
      </c>
      <c r="B160" s="52" t="s">
        <v>404</v>
      </c>
      <c r="C160" s="39">
        <v>17500</v>
      </c>
      <c r="D160" s="65" t="s">
        <v>161</v>
      </c>
      <c r="E160" s="65"/>
    </row>
    <row r="161" ht="15" customHeight="1" spans="1:5" x14ac:dyDescent="0.25">
      <c r="A161" s="51">
        <v>20</v>
      </c>
      <c r="B161" s="52" t="s">
        <v>405</v>
      </c>
      <c r="C161" s="39">
        <v>2303485</v>
      </c>
      <c r="D161" s="65" t="s">
        <v>161</v>
      </c>
      <c r="E161" s="65"/>
    </row>
    <row r="162" ht="15" customHeight="1" spans="1:5" x14ac:dyDescent="0.25">
      <c r="A162" s="53">
        <v>21</v>
      </c>
      <c r="B162" s="54" t="s">
        <v>406</v>
      </c>
      <c r="C162" s="55">
        <v>6171712</v>
      </c>
      <c r="D162" s="56" t="s">
        <v>161</v>
      </c>
      <c r="E162" s="56"/>
    </row>
    <row r="163" ht="15" customHeight="1" spans="1:5" x14ac:dyDescent="0.25">
      <c r="A163" s="53">
        <v>22</v>
      </c>
      <c r="B163" s="54" t="s">
        <v>407</v>
      </c>
      <c r="C163" s="55">
        <v>2547471</v>
      </c>
      <c r="D163" s="56" t="s">
        <v>161</v>
      </c>
      <c r="E163" s="56"/>
    </row>
    <row r="164" ht="15" customHeight="1" spans="1:5" x14ac:dyDescent="0.25">
      <c r="A164" s="51">
        <v>23</v>
      </c>
      <c r="B164" s="52" t="s">
        <v>368</v>
      </c>
      <c r="C164" s="39">
        <v>16675</v>
      </c>
      <c r="D164" s="65" t="s">
        <v>161</v>
      </c>
      <c r="E164" s="65"/>
    </row>
    <row r="165" ht="15" customHeight="1" spans="1:5" x14ac:dyDescent="0.25">
      <c r="A165" s="53">
        <v>24</v>
      </c>
      <c r="B165" s="54" t="s">
        <v>408</v>
      </c>
      <c r="C165" s="55">
        <v>2530796</v>
      </c>
      <c r="D165" s="56" t="s">
        <v>161</v>
      </c>
      <c r="E165" s="56"/>
    </row>
    <row r="166" ht="15" customHeight="1" spans="1:5" x14ac:dyDescent="0.25">
      <c r="A166" s="51">
        <v>25</v>
      </c>
      <c r="B166" s="52" t="s">
        <v>409</v>
      </c>
      <c r="C166" s="66">
        <v>1069027</v>
      </c>
      <c r="D166" s="67" t="s">
        <v>161</v>
      </c>
      <c r="E166" s="67"/>
    </row>
    <row r="167" ht="15" customHeight="1" spans="1:5" x14ac:dyDescent="0.25">
      <c r="A167" s="53">
        <v>26</v>
      </c>
      <c r="B167" s="54" t="s">
        <v>410</v>
      </c>
      <c r="C167" s="55">
        <v>1461769</v>
      </c>
      <c r="D167" s="56" t="s">
        <v>161</v>
      </c>
      <c r="E167" s="56"/>
    </row>
    <row r="168" spans="1:5" x14ac:dyDescent="0.25">
      <c r="A168" s="51">
        <v>27</v>
      </c>
      <c r="B168" s="52" t="s">
        <v>411</v>
      </c>
      <c r="C168" s="38" t="s">
        <v>161</v>
      </c>
      <c r="D168" s="65" t="s">
        <v>161</v>
      </c>
      <c r="E168" s="65"/>
    </row>
    <row r="169" ht="15" customHeight="1" spans="1:5" x14ac:dyDescent="0.25">
      <c r="A169" s="51">
        <v>28</v>
      </c>
      <c r="B169" s="52" t="s">
        <v>412</v>
      </c>
      <c r="C169" s="39">
        <v>311569</v>
      </c>
      <c r="D169" s="65" t="s">
        <v>161</v>
      </c>
      <c r="E169" s="65"/>
    </row>
    <row r="170" ht="15" customHeight="1" spans="1:5" x14ac:dyDescent="0.25">
      <c r="A170" s="53">
        <v>29</v>
      </c>
      <c r="B170" s="54" t="s">
        <v>413</v>
      </c>
      <c r="C170" s="55">
        <v>1150200</v>
      </c>
      <c r="D170" s="56" t="s">
        <v>161</v>
      </c>
      <c r="E170" s="56"/>
    </row>
    <row r="171" spans="1:5" x14ac:dyDescent="0.25">
      <c r="A171" s="51">
        <v>30</v>
      </c>
      <c r="B171" s="52" t="s">
        <v>414</v>
      </c>
      <c r="C171" s="38" t="s">
        <v>161</v>
      </c>
      <c r="D171" s="65" t="s">
        <v>161</v>
      </c>
      <c r="E171" s="65"/>
    </row>
    <row r="172" ht="15" customHeight="1" spans="1:5" x14ac:dyDescent="0.25">
      <c r="A172" s="51">
        <v>31</v>
      </c>
      <c r="B172" s="52" t="s">
        <v>415</v>
      </c>
      <c r="C172" s="38" t="s">
        <v>161</v>
      </c>
      <c r="D172" s="65" t="s">
        <v>161</v>
      </c>
      <c r="E172" s="65"/>
    </row>
    <row r="173" ht="15" customHeight="1" spans="1:5" x14ac:dyDescent="0.25">
      <c r="A173" s="53">
        <v>32</v>
      </c>
      <c r="B173" s="54" t="s">
        <v>416</v>
      </c>
      <c r="C173" s="55">
        <v>1150200</v>
      </c>
      <c r="D173" s="56" t="s">
        <v>161</v>
      </c>
      <c r="E173" s="56"/>
    </row>
    <row r="174" ht="15" customHeight="1" spans="1:5" x14ac:dyDescent="0.25">
      <c r="A174" s="53">
        <v>33</v>
      </c>
      <c r="B174" s="54" t="s">
        <v>417</v>
      </c>
      <c r="C174" s="55">
        <v>1150200</v>
      </c>
      <c r="D174" s="56" t="s">
        <v>161</v>
      </c>
      <c r="E174" s="56"/>
    </row>
    <row r="176" ht="15" customHeight="1" x14ac:dyDescent="0.25"/>
    <row r="177" ht="15" customHeight="1" spans="1:4" x14ac:dyDescent="0.25">
      <c r="A177" s="32" t="s">
        <v>418</v>
      </c>
      <c r="B177" s="32"/>
      <c r="C177" s="32"/>
      <c r="D177" s="32"/>
    </row>
    <row r="178" ht="15" customHeight="1" spans="1:4" x14ac:dyDescent="0.25">
      <c r="A178" s="46" t="s">
        <v>419</v>
      </c>
      <c r="B178" s="46"/>
      <c r="C178" s="47">
        <v>2022</v>
      </c>
      <c r="D178" s="48">
        <v>2023</v>
      </c>
    </row>
    <row r="179" ht="15" customHeight="1" spans="1:4" x14ac:dyDescent="0.25">
      <c r="A179" s="33" t="s">
        <v>420</v>
      </c>
      <c r="B179" s="33"/>
      <c r="C179" s="68"/>
      <c r="D179" s="68"/>
    </row>
    <row r="180" spans="1:4" x14ac:dyDescent="0.25">
      <c r="A180" s="52" t="s">
        <v>421</v>
      </c>
      <c r="B180" s="52"/>
      <c r="C180" s="39">
        <v>4.859999233170545</v>
      </c>
      <c r="D180" s="8" t="s">
        <v>161</v>
      </c>
    </row>
    <row r="181" spans="1:4" x14ac:dyDescent="0.25">
      <c r="A181" s="52" t="s">
        <v>422</v>
      </c>
      <c r="B181" s="52"/>
      <c r="C181" s="39">
        <v>1.622031545223767</v>
      </c>
      <c r="D181" s="8" t="s">
        <v>161</v>
      </c>
    </row>
    <row r="182" spans="1:4" x14ac:dyDescent="0.25">
      <c r="A182" s="52" t="s">
        <v>423</v>
      </c>
      <c r="B182" s="52"/>
      <c r="C182" s="39">
        <v>4.43936355533046</v>
      </c>
      <c r="D182" s="8" t="s">
        <v>161</v>
      </c>
    </row>
    <row r="183" ht="15" customHeight="1" spans="1:4" x14ac:dyDescent="0.25">
      <c r="A183" s="52" t="s">
        <v>424</v>
      </c>
      <c r="B183" s="52"/>
      <c r="C183" s="39">
        <v>0.7926308949309808</v>
      </c>
      <c r="D183" s="8" t="s">
        <v>161</v>
      </c>
    </row>
    <row r="184" ht="15" customHeight="1" spans="1:4" x14ac:dyDescent="0.25">
      <c r="A184" s="33" t="s">
        <v>425</v>
      </c>
      <c r="B184" s="33"/>
      <c r="C184" s="68"/>
      <c r="D184" s="68"/>
    </row>
    <row r="185" spans="1:4" x14ac:dyDescent="0.25">
      <c r="A185" s="52" t="s">
        <v>426</v>
      </c>
      <c r="B185" s="52"/>
      <c r="C185" s="39">
        <v>16.17856885453248</v>
      </c>
      <c r="D185" s="8" t="s">
        <v>161</v>
      </c>
    </row>
    <row r="186" spans="1:4" x14ac:dyDescent="0.25">
      <c r="A186" s="52" t="s">
        <v>427</v>
      </c>
      <c r="B186" s="52"/>
      <c r="C186" s="39">
        <v>22.56070999121434</v>
      </c>
      <c r="D186" s="8" t="s">
        <v>161</v>
      </c>
    </row>
    <row r="187" spans="1:4" x14ac:dyDescent="0.25">
      <c r="A187" s="52" t="s">
        <v>428</v>
      </c>
      <c r="B187" s="52"/>
      <c r="C187" s="39">
        <v>11.039448676669672</v>
      </c>
      <c r="D187" s="8" t="s">
        <v>161</v>
      </c>
    </row>
    <row r="188" spans="1:4" x14ac:dyDescent="0.25">
      <c r="A188" s="52" t="s">
        <v>429</v>
      </c>
      <c r="B188" s="52"/>
      <c r="C188" s="39">
        <v>33.063245338635106</v>
      </c>
      <c r="D188" s="8" t="s">
        <v>161</v>
      </c>
    </row>
    <row r="189" spans="1:4" x14ac:dyDescent="0.25">
      <c r="A189" s="52" t="s">
        <v>430</v>
      </c>
      <c r="B189" s="52"/>
      <c r="C189" s="39">
        <v>7.2259189544488445</v>
      </c>
      <c r="D189" s="8" t="s">
        <v>161</v>
      </c>
    </row>
    <row r="190" spans="1:4" x14ac:dyDescent="0.25">
      <c r="A190" s="52" t="s">
        <v>431</v>
      </c>
      <c r="B190" s="52"/>
      <c r="C190" s="39">
        <v>50.512606396626865</v>
      </c>
      <c r="D190" s="8" t="s">
        <v>161</v>
      </c>
    </row>
    <row r="191" spans="1:4" x14ac:dyDescent="0.25">
      <c r="A191" s="52" t="s">
        <v>432</v>
      </c>
      <c r="B191" s="52"/>
      <c r="C191" s="39">
        <v>5.11134893322258</v>
      </c>
      <c r="D191" s="8" t="s">
        <v>161</v>
      </c>
    </row>
    <row r="192" spans="1:4" x14ac:dyDescent="0.25">
      <c r="A192" s="52" t="s">
        <v>433</v>
      </c>
      <c r="B192" s="52"/>
      <c r="C192" s="39">
        <v>2.4344059538403813</v>
      </c>
      <c r="D192" s="8" t="s">
        <v>161</v>
      </c>
    </row>
    <row r="193" spans="1:4" x14ac:dyDescent="0.25">
      <c r="A193" s="52" t="s">
        <v>434</v>
      </c>
      <c r="B193" s="52"/>
      <c r="C193" s="39">
        <v>953.2239575481653</v>
      </c>
      <c r="D193" s="8" t="s">
        <v>161</v>
      </c>
    </row>
    <row r="194" ht="15" customHeight="1" spans="1:4" x14ac:dyDescent="0.25">
      <c r="A194" s="52" t="s">
        <v>435</v>
      </c>
      <c r="B194" s="52"/>
      <c r="C194" s="39">
        <v>1.9295853698178094</v>
      </c>
      <c r="D194" s="8" t="s">
        <v>161</v>
      </c>
    </row>
    <row r="195" ht="15" customHeight="1" spans="1:4" x14ac:dyDescent="0.25">
      <c r="A195" s="33" t="s">
        <v>436</v>
      </c>
      <c r="B195" s="33"/>
      <c r="C195" s="68"/>
      <c r="D195" s="68"/>
    </row>
    <row r="196" spans="1:4" x14ac:dyDescent="0.25">
      <c r="A196" s="52" t="s">
        <v>437</v>
      </c>
      <c r="B196" s="52"/>
      <c r="C196" s="39">
        <v>0.6331623582537532</v>
      </c>
      <c r="D196" s="8" t="s">
        <v>161</v>
      </c>
    </row>
    <row r="197" spans="1:4" x14ac:dyDescent="0.25">
      <c r="A197" s="52" t="s">
        <v>438</v>
      </c>
      <c r="B197" s="52"/>
      <c r="C197" s="39">
        <v>3.9206845192541353</v>
      </c>
      <c r="D197" s="8" t="s">
        <v>161</v>
      </c>
    </row>
    <row r="198" spans="1:4" x14ac:dyDescent="0.25">
      <c r="A198" s="52" t="s">
        <v>439</v>
      </c>
      <c r="B198" s="52"/>
      <c r="C198" s="38" t="s">
        <v>161</v>
      </c>
      <c r="D198" s="8" t="s">
        <v>161</v>
      </c>
    </row>
    <row r="199" spans="1:4" x14ac:dyDescent="0.25">
      <c r="A199" s="52" t="s">
        <v>440</v>
      </c>
      <c r="B199" s="52"/>
      <c r="C199" s="39">
        <v>5.192226161497171</v>
      </c>
      <c r="D199" s="8" t="s">
        <v>161</v>
      </c>
    </row>
    <row r="200" ht="15" customHeight="1" spans="1:4" x14ac:dyDescent="0.25">
      <c r="A200" s="52" t="s">
        <v>441</v>
      </c>
      <c r="B200" s="52"/>
      <c r="C200" s="39">
        <v>4.072330165878237</v>
      </c>
      <c r="D200" s="8" t="s">
        <v>161</v>
      </c>
    </row>
    <row r="201" ht="15" customHeight="1" spans="1:4" x14ac:dyDescent="0.25">
      <c r="A201" s="33" t="s">
        <v>442</v>
      </c>
      <c r="B201" s="33"/>
      <c r="C201" s="68"/>
      <c r="D201" s="68"/>
    </row>
    <row r="202" spans="1:4" x14ac:dyDescent="0.25">
      <c r="A202" s="52" t="s">
        <v>443</v>
      </c>
      <c r="B202" s="52"/>
      <c r="C202" s="39">
        <v>2.3673826760222147</v>
      </c>
      <c r="D202" s="8" t="s">
        <v>161</v>
      </c>
    </row>
    <row r="203" ht="15" customHeight="1" spans="1:4" x14ac:dyDescent="0.25">
      <c r="A203" s="52" t="s">
        <v>444</v>
      </c>
      <c r="B203" s="52"/>
      <c r="C203" s="39">
        <v>2.3829809724169735</v>
      </c>
      <c r="D203" s="8" t="s">
        <v>161</v>
      </c>
    </row>
    <row r="204" ht="15" customHeight="1" spans="1:4" x14ac:dyDescent="0.25">
      <c r="A204" s="33" t="s">
        <v>445</v>
      </c>
      <c r="B204" s="33"/>
      <c r="C204" s="68"/>
      <c r="D204" s="68"/>
    </row>
    <row r="205" spans="1:4" x14ac:dyDescent="0.25">
      <c r="A205" s="52" t="s">
        <v>446</v>
      </c>
      <c r="B205" s="52"/>
      <c r="C205" s="39">
        <v>0.08004901634096279</v>
      </c>
      <c r="D205" s="8" t="s">
        <v>161</v>
      </c>
    </row>
    <row r="206" spans="1:4" x14ac:dyDescent="0.25">
      <c r="A206" s="52" t="s">
        <v>447</v>
      </c>
      <c r="B206" s="52"/>
      <c r="C206" s="39">
        <v>0.036380798213437746</v>
      </c>
      <c r="D206" s="8" t="s">
        <v>161</v>
      </c>
    </row>
    <row r="207" spans="1:4" x14ac:dyDescent="0.25">
      <c r="A207" s="52" t="s">
        <v>448</v>
      </c>
      <c r="B207" s="52"/>
      <c r="C207" s="39">
        <v>0.08057644618812769</v>
      </c>
      <c r="D207" s="8" t="s">
        <v>161</v>
      </c>
    </row>
    <row r="208" spans="1:4" x14ac:dyDescent="0.25">
      <c r="A208" s="52" t="s">
        <v>449</v>
      </c>
      <c r="B208" s="52"/>
      <c r="C208" s="39">
        <v>0.07019985597494338</v>
      </c>
      <c r="D208" s="8" t="s">
        <v>161</v>
      </c>
    </row>
    <row r="209" spans="1:4" x14ac:dyDescent="0.25">
      <c r="A209" s="52" t="s">
        <v>450</v>
      </c>
      <c r="B209" s="52"/>
      <c r="C209" s="39">
        <v>0.4346933847013779</v>
      </c>
      <c r="D209" s="8" t="s">
        <v>161</v>
      </c>
    </row>
    <row r="210" spans="1:4" x14ac:dyDescent="0.25">
      <c r="A210" s="52" t="s">
        <v>451</v>
      </c>
      <c r="B210" s="52"/>
      <c r="C210" s="39">
        <v>0.036908228060602656</v>
      </c>
      <c r="D210" s="8" t="s">
        <v>161</v>
      </c>
    </row>
    <row r="211" spans="1:4" x14ac:dyDescent="0.25">
      <c r="A211" s="52" t="s">
        <v>452</v>
      </c>
      <c r="B211" s="52"/>
      <c r="C211" s="39">
        <v>0.036908228060602656</v>
      </c>
      <c r="D211" s="8" t="s">
        <v>161</v>
      </c>
    </row>
    <row r="212" ht="15" customHeight="1" spans="1:4" x14ac:dyDescent="0.25">
      <c r="A212" s="52" t="s">
        <v>453</v>
      </c>
      <c r="B212" s="52"/>
      <c r="C212" s="39">
        <v>0.19437539333276294</v>
      </c>
      <c r="D212" s="8" t="s">
        <v>161</v>
      </c>
    </row>
    <row r="213" ht="15" customHeight="1" spans="1:4" x14ac:dyDescent="0.25">
      <c r="A213" s="33" t="s">
        <v>454</v>
      </c>
      <c r="B213" s="33"/>
      <c r="C213" s="68"/>
      <c r="D213" s="68"/>
    </row>
    <row r="214" spans="1:4" x14ac:dyDescent="0.25">
      <c r="A214" s="52" t="s">
        <v>455</v>
      </c>
      <c r="B214" s="52"/>
      <c r="C214" s="38" t="s">
        <v>161</v>
      </c>
      <c r="D214" s="8" t="s">
        <v>161</v>
      </c>
    </row>
    <row r="215" spans="1:4" x14ac:dyDescent="0.25">
      <c r="A215" s="52" t="s">
        <v>456</v>
      </c>
      <c r="B215" s="52"/>
      <c r="C215" s="38" t="s">
        <v>161</v>
      </c>
      <c r="D215" s="8" t="s">
        <v>161</v>
      </c>
    </row>
    <row r="216" spans="1:4" x14ac:dyDescent="0.25">
      <c r="A216" s="52" t="s">
        <v>457</v>
      </c>
      <c r="B216" s="52"/>
      <c r="C216" s="39">
        <v>1166875</v>
      </c>
      <c r="D216" s="8" t="s">
        <v>161</v>
      </c>
    </row>
    <row r="217" spans="1:4" x14ac:dyDescent="0.25">
      <c r="A217" s="52" t="s">
        <v>458</v>
      </c>
      <c r="B217" s="52"/>
      <c r="C217" s="38" t="s">
        <v>161</v>
      </c>
      <c r="D217" s="8" t="s">
        <v>161</v>
      </c>
    </row>
    <row r="218" ht="15" customHeight="1" spans="1:4" x14ac:dyDescent="0.25">
      <c r="A218" s="69" t="s">
        <v>459</v>
      </c>
      <c r="B218" s="69"/>
      <c r="C218" s="70" t="s">
        <v>161</v>
      </c>
      <c r="D218" s="71" t="s">
        <v>161</v>
      </c>
    </row>
  </sheetData>
  <mergeCells count="188">
    <mergeCell ref="A1:H1"/>
    <mergeCell ref="A2:E2"/>
    <mergeCell ref="F2:G2"/>
    <mergeCell ref="A3:E3"/>
    <mergeCell ref="F3:G3"/>
    <mergeCell ref="A4:E4"/>
    <mergeCell ref="F4:G4"/>
    <mergeCell ref="A5:E5"/>
    <mergeCell ref="F5:G5"/>
    <mergeCell ref="A6:E6"/>
    <mergeCell ref="F6:G6"/>
    <mergeCell ref="A7:E7"/>
    <mergeCell ref="F7:G7"/>
    <mergeCell ref="A8:E8"/>
    <mergeCell ref="F8:G8"/>
    <mergeCell ref="A9:E9"/>
    <mergeCell ref="F9:G9"/>
    <mergeCell ref="A10:E10"/>
    <mergeCell ref="F10:G10"/>
    <mergeCell ref="A11:E11"/>
    <mergeCell ref="F11:G11"/>
    <mergeCell ref="A12:E12"/>
    <mergeCell ref="F12:G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F17:G17"/>
    <mergeCell ref="A18:E18"/>
    <mergeCell ref="F18:G18"/>
    <mergeCell ref="A19:E19"/>
    <mergeCell ref="F19:G19"/>
    <mergeCell ref="A20:E20"/>
    <mergeCell ref="F20:G20"/>
    <mergeCell ref="A21:E21"/>
    <mergeCell ref="F21:G21"/>
    <mergeCell ref="A22:E22"/>
    <mergeCell ref="F22:G22"/>
    <mergeCell ref="A23:E23"/>
    <mergeCell ref="F23:G23"/>
    <mergeCell ref="A24:E24"/>
    <mergeCell ref="F24:G24"/>
    <mergeCell ref="A25:E25"/>
    <mergeCell ref="F25:G25"/>
    <mergeCell ref="A26:E26"/>
    <mergeCell ref="F26:G26"/>
    <mergeCell ref="A27:E27"/>
    <mergeCell ref="F27:G27"/>
    <mergeCell ref="A28:E28"/>
    <mergeCell ref="F28:G28"/>
    <mergeCell ref="A29:E29"/>
    <mergeCell ref="F29:G29"/>
    <mergeCell ref="A30:E30"/>
    <mergeCell ref="F30:G30"/>
    <mergeCell ref="A31:E31"/>
    <mergeCell ref="F31:G31"/>
    <mergeCell ref="A32:E32"/>
    <mergeCell ref="F32:G32"/>
    <mergeCell ref="A33:E33"/>
    <mergeCell ref="F33:G33"/>
    <mergeCell ref="A34:E34"/>
    <mergeCell ref="F34:G34"/>
    <mergeCell ref="A36:H36"/>
    <mergeCell ref="A37:F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F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9:D79"/>
    <mergeCell ref="A81:B81"/>
    <mergeCell ref="A113:B113"/>
    <mergeCell ref="A140:D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A177:D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</mergeCells>
  <printOptions horizontalCentered="1"/>
  <pageMargins left="0.25" right="0.25" top="0.55" bottom="0.45" header="0.25" footer="0.25"/>
  <pageSetup orientation="landscape" fitToWidth="1" fitToHeight="0"/>
  <headerFooter>
    <oddHeader>&amp;C&amp;"Arial,Bold"&amp;14ITR Analysis</oddHeader>
    <oddFooter>&amp;L&amp;"Arial"&amp;9Loan Application Summary&amp;C&amp;"Arial"&amp;9Page &amp;P of &amp;N&amp;R&amp;"Arial"&amp;9Generated by Cred2Tech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  <pageSetUpPr fitToPage="1"/>
  </sheetPr>
  <dimension ref="A1:N84"/>
  <sheetViews>
    <sheetView workbookViewId="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28" customWidth="1"/>
    <col min="2" max="4" width="20" customWidth="1"/>
    <col min="5" max="14" width="12.453125" customWidth="1"/>
  </cols>
  <sheetData>
    <row r="1" ht="34" customHeight="1" spans="1:14" x14ac:dyDescent="0.25">
      <c r="A1" s="1" t="s">
        <v>460</v>
      </c>
      <c r="B1" s="1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ht="21" customHeight="1" spans="1:2" x14ac:dyDescent="0.25">
      <c r="A2" s="7" t="s">
        <v>6</v>
      </c>
      <c r="B2" s="7"/>
    </row>
    <row r="3" ht="21" customHeight="1" spans="1:2" x14ac:dyDescent="0.25">
      <c r="A3" s="11" t="s">
        <v>461</v>
      </c>
      <c r="B3" s="6" t="s">
        <v>4</v>
      </c>
    </row>
    <row r="4" ht="21" customHeight="1" spans="1:2" x14ac:dyDescent="0.25">
      <c r="A4" s="73" t="s">
        <v>462</v>
      </c>
      <c r="B4" s="7" t="s">
        <v>25</v>
      </c>
    </row>
    <row r="5" ht="21" customHeight="1" spans="1:2" x14ac:dyDescent="0.25">
      <c r="A5" s="11" t="s">
        <v>18</v>
      </c>
      <c r="B5" s="6" t="s">
        <v>24</v>
      </c>
    </row>
    <row r="6" ht="21" customHeight="1" spans="1:2" x14ac:dyDescent="0.25">
      <c r="A6" s="73" t="s">
        <v>114</v>
      </c>
      <c r="B6" s="7" t="s">
        <v>115</v>
      </c>
    </row>
    <row r="7" ht="21" customHeight="1" spans="1:2" x14ac:dyDescent="0.25">
      <c r="A7" s="11" t="s">
        <v>103</v>
      </c>
      <c r="B7" s="6" t="s">
        <v>226</v>
      </c>
    </row>
    <row r="8" ht="21" customHeight="1" spans="1:2" x14ac:dyDescent="0.25">
      <c r="A8" s="73" t="s">
        <v>463</v>
      </c>
      <c r="B8" s="7" t="s">
        <v>4</v>
      </c>
    </row>
    <row r="9" ht="21" customHeight="1" spans="1:2" x14ac:dyDescent="0.25">
      <c r="A9" s="11" t="s">
        <v>464</v>
      </c>
      <c r="B9" s="6" t="s">
        <v>4</v>
      </c>
    </row>
    <row r="10" ht="21" customHeight="1" spans="1:2" x14ac:dyDescent="0.25">
      <c r="A10" s="73" t="s">
        <v>465</v>
      </c>
      <c r="B10" s="7" t="s">
        <v>466</v>
      </c>
    </row>
    <row r="11" ht="21" customHeight="1" spans="1:2" x14ac:dyDescent="0.25">
      <c r="A11" s="11" t="s">
        <v>223</v>
      </c>
      <c r="B11" s="6" t="s">
        <v>4</v>
      </c>
    </row>
    <row r="12" ht="21" customHeight="1" spans="1:2" x14ac:dyDescent="0.25">
      <c r="A12" s="73" t="s">
        <v>467</v>
      </c>
      <c r="B12" s="7" t="s">
        <v>4</v>
      </c>
    </row>
    <row r="13" ht="21" customHeight="1" spans="1:2" x14ac:dyDescent="0.25">
      <c r="A13" s="11" t="s">
        <v>468</v>
      </c>
      <c r="B13" s="6" t="s">
        <v>4</v>
      </c>
    </row>
    <row r="14" spans="1:2" x14ac:dyDescent="0.25">
      <c r="A14" s="73" t="s">
        <v>4</v>
      </c>
      <c r="B14" s="7" t="s">
        <v>4</v>
      </c>
    </row>
    <row r="15" spans="1:2" x14ac:dyDescent="0.25">
      <c r="A15" s="11" t="s">
        <v>4</v>
      </c>
      <c r="B15" s="6" t="s">
        <v>4</v>
      </c>
    </row>
    <row r="16" spans="1:2" x14ac:dyDescent="0.25">
      <c r="A16" s="73" t="s">
        <v>4</v>
      </c>
      <c r="B16" s="7" t="s">
        <v>4</v>
      </c>
    </row>
    <row r="17" ht="21" customHeight="1" spans="1:2" x14ac:dyDescent="0.25">
      <c r="A17" s="11" t="s">
        <v>469</v>
      </c>
      <c r="B17" s="6" t="s">
        <v>4</v>
      </c>
    </row>
    <row r="18" ht="21" customHeight="1" spans="1:2" x14ac:dyDescent="0.25">
      <c r="A18" s="73" t="s">
        <v>470</v>
      </c>
      <c r="B18" s="7" t="s">
        <v>4</v>
      </c>
    </row>
    <row r="19" ht="21" customHeight="1" spans="1:2" x14ac:dyDescent="0.25">
      <c r="A19" s="11" t="s">
        <v>471</v>
      </c>
      <c r="B19" s="6" t="s">
        <v>12</v>
      </c>
    </row>
    <row r="20" spans="1:2" x14ac:dyDescent="0.25">
      <c r="A20" s="73" t="s">
        <v>472</v>
      </c>
      <c r="B20" s="7" t="s">
        <v>473</v>
      </c>
    </row>
    <row r="21" ht="22" customHeight="1" spans="1:4" x14ac:dyDescent="0.25">
      <c r="A21" s="4" t="s">
        <v>474</v>
      </c>
      <c r="B21" s="4"/>
      <c r="C21" s="4"/>
      <c r="D21" s="4"/>
    </row>
    <row r="22" ht="24" customHeight="1" spans="1:4" x14ac:dyDescent="0.25">
      <c r="A22" s="5" t="s">
        <v>35</v>
      </c>
      <c r="B22" s="5" t="s">
        <v>475</v>
      </c>
      <c r="C22" s="5" t="s">
        <v>476</v>
      </c>
      <c r="D22" s="5" t="s">
        <v>477</v>
      </c>
    </row>
    <row r="23" ht="16.5" customHeight="1" spans="1:4" x14ac:dyDescent="0.25">
      <c r="A23" s="1" t="s">
        <v>478</v>
      </c>
      <c r="B23" s="1"/>
      <c r="C23" s="1"/>
      <c r="D23" s="1"/>
    </row>
    <row r="24" ht="28" customHeight="1" spans="1:4" x14ac:dyDescent="0.25">
      <c r="A24" s="74" t="s">
        <v>123</v>
      </c>
      <c r="B24" s="74" t="s">
        <v>136</v>
      </c>
      <c r="C24" s="74" t="s">
        <v>479</v>
      </c>
      <c r="D24" s="74" t="s">
        <v>480</v>
      </c>
    </row>
    <row r="25" spans="1:4" x14ac:dyDescent="0.25">
      <c r="A25" s="11" t="s">
        <v>481</v>
      </c>
      <c r="B25" s="8">
        <v>8211259.75</v>
      </c>
      <c r="C25" s="8">
        <v>6622337</v>
      </c>
      <c r="D25" s="8">
        <v>3638040</v>
      </c>
    </row>
    <row r="26" spans="1:4" x14ac:dyDescent="0.25">
      <c r="A26" s="73" t="s">
        <v>482</v>
      </c>
      <c r="B26" s="75">
        <v>12146303.94</v>
      </c>
      <c r="C26" s="75">
        <v>12146303.94</v>
      </c>
      <c r="D26" s="75">
        <v>12146303.94</v>
      </c>
    </row>
    <row r="27" spans="1:4" x14ac:dyDescent="0.25">
      <c r="A27" s="11" t="s">
        <v>483</v>
      </c>
      <c r="B27" s="8">
        <v>821125.9750000001</v>
      </c>
      <c r="C27" s="8">
        <v>6698847.54</v>
      </c>
      <c r="D27" s="8">
        <v>6698847.54</v>
      </c>
    </row>
    <row r="28" spans="1:4" x14ac:dyDescent="0.25">
      <c r="A28" s="73" t="s">
        <v>484</v>
      </c>
      <c r="B28" s="76" t="s">
        <v>485</v>
      </c>
      <c r="C28" s="76" t="s">
        <v>485</v>
      </c>
      <c r="D28" s="76" t="s">
        <v>485</v>
      </c>
    </row>
    <row r="29" spans="1:4" x14ac:dyDescent="0.25">
      <c r="A29" s="11" t="s">
        <v>486</v>
      </c>
      <c r="B29" s="77" t="s">
        <v>487</v>
      </c>
      <c r="C29" s="77" t="s">
        <v>488</v>
      </c>
      <c r="D29" s="77" t="s">
        <v>488</v>
      </c>
    </row>
    <row r="32" ht="16.5" customHeight="1" spans="1:5" x14ac:dyDescent="0.25">
      <c r="A32" s="1" t="s">
        <v>489</v>
      </c>
      <c r="B32" s="1"/>
      <c r="C32" s="1"/>
      <c r="D32" s="1"/>
      <c r="E32" s="1"/>
    </row>
    <row r="33" spans="1:5" x14ac:dyDescent="0.25">
      <c r="A33" s="7" t="s">
        <v>490</v>
      </c>
      <c r="B33" s="7"/>
      <c r="C33" s="7"/>
      <c r="D33" s="7"/>
      <c r="E33" s="7"/>
    </row>
    <row r="34" spans="1:3" x14ac:dyDescent="0.25">
      <c r="A34" s="74" t="s">
        <v>491</v>
      </c>
      <c r="B34" s="74" t="s">
        <v>492</v>
      </c>
      <c r="C34" s="74" t="s">
        <v>493</v>
      </c>
    </row>
    <row r="35" spans="1:3" x14ac:dyDescent="0.25">
      <c r="A35" s="7" t="s">
        <v>494</v>
      </c>
      <c r="B35" s="75">
        <v>6000000</v>
      </c>
      <c r="C35" s="75">
        <v>1080000</v>
      </c>
    </row>
    <row r="36" spans="1:3" x14ac:dyDescent="0.25">
      <c r="A36" s="6" t="s">
        <v>495</v>
      </c>
      <c r="B36" s="8">
        <v>6000000</v>
      </c>
      <c r="C36" s="8">
        <v>1080000</v>
      </c>
    </row>
    <row r="37" spans="1:3" x14ac:dyDescent="0.25">
      <c r="A37" s="7" t="s">
        <v>496</v>
      </c>
      <c r="B37" s="75">
        <v>6000000</v>
      </c>
      <c r="C37" s="75">
        <v>1080000</v>
      </c>
    </row>
    <row r="38" spans="1:3" x14ac:dyDescent="0.25">
      <c r="A38" s="6" t="s">
        <v>497</v>
      </c>
      <c r="B38" s="8">
        <v>6000000</v>
      </c>
      <c r="C38" s="8">
        <v>1080000</v>
      </c>
    </row>
    <row r="39" spans="1:3" x14ac:dyDescent="0.25">
      <c r="A39" s="7" t="s">
        <v>498</v>
      </c>
      <c r="B39" s="75">
        <v>6000000</v>
      </c>
      <c r="C39" s="75">
        <v>1080000</v>
      </c>
    </row>
    <row r="40" spans="1:3" x14ac:dyDescent="0.25">
      <c r="A40" s="6" t="s">
        <v>499</v>
      </c>
      <c r="B40" s="8">
        <v>6000000</v>
      </c>
      <c r="C40" s="8">
        <v>1080000</v>
      </c>
    </row>
    <row r="41" spans="1:3" x14ac:dyDescent="0.25">
      <c r="A41" s="7" t="s">
        <v>500</v>
      </c>
      <c r="B41" s="75">
        <v>6000000</v>
      </c>
      <c r="C41" s="75">
        <v>1080000</v>
      </c>
    </row>
    <row r="42" spans="1:3" x14ac:dyDescent="0.25">
      <c r="A42" s="6" t="s">
        <v>501</v>
      </c>
      <c r="B42" s="8">
        <v>6000000</v>
      </c>
      <c r="C42" s="8">
        <v>1080000</v>
      </c>
    </row>
    <row r="43" spans="1:3" x14ac:dyDescent="0.25">
      <c r="A43" s="7" t="s">
        <v>502</v>
      </c>
      <c r="B43" s="75">
        <v>6000000</v>
      </c>
      <c r="C43" s="75">
        <v>1080000</v>
      </c>
    </row>
    <row r="44" spans="1:3" x14ac:dyDescent="0.25">
      <c r="A44" s="6" t="s">
        <v>503</v>
      </c>
      <c r="B44" s="8">
        <v>6000000</v>
      </c>
      <c r="C44" s="8">
        <v>1080000</v>
      </c>
    </row>
    <row r="45" spans="1:3" x14ac:dyDescent="0.25">
      <c r="A45" s="7" t="s">
        <v>504</v>
      </c>
      <c r="B45" s="75">
        <v>6000000</v>
      </c>
      <c r="C45" s="75">
        <v>1080000</v>
      </c>
    </row>
    <row r="46" spans="1:3" x14ac:dyDescent="0.25">
      <c r="A46" s="6" t="s">
        <v>505</v>
      </c>
      <c r="B46" s="8">
        <v>6000000</v>
      </c>
      <c r="C46" s="8">
        <v>1080000</v>
      </c>
    </row>
    <row r="47" spans="1:3" x14ac:dyDescent="0.25">
      <c r="A47" s="78" t="s">
        <v>136</v>
      </c>
      <c r="B47" s="79">
        <f>SUM(B35:B46)</f>
        <v>72000000</v>
      </c>
      <c r="C47" s="79">
        <f>SUM(C35:C46)</f>
        <v>12960000</v>
      </c>
    </row>
    <row r="49" spans="1:5" x14ac:dyDescent="0.25">
      <c r="A49" s="7" t="s">
        <v>506</v>
      </c>
      <c r="B49" s="7"/>
      <c r="C49" s="7"/>
      <c r="D49" s="7"/>
      <c r="E49" s="7"/>
    </row>
    <row r="50" spans="1:3" x14ac:dyDescent="0.25">
      <c r="A50" s="74" t="s">
        <v>491</v>
      </c>
      <c r="B50" s="74" t="s">
        <v>492</v>
      </c>
      <c r="C50" s="74" t="s">
        <v>493</v>
      </c>
    </row>
    <row r="51" spans="1:3" x14ac:dyDescent="0.25">
      <c r="A51" s="7" t="s">
        <v>494</v>
      </c>
      <c r="B51" s="75">
        <v>0</v>
      </c>
      <c r="C51" s="75">
        <v>0</v>
      </c>
    </row>
    <row r="52" spans="1:3" x14ac:dyDescent="0.25">
      <c r="A52" s="6" t="s">
        <v>495</v>
      </c>
      <c r="B52" s="8">
        <v>0</v>
      </c>
      <c r="C52" s="8">
        <v>0</v>
      </c>
    </row>
    <row r="53" spans="1:3" x14ac:dyDescent="0.25">
      <c r="A53" s="7" t="s">
        <v>496</v>
      </c>
      <c r="B53" s="75">
        <v>0</v>
      </c>
      <c r="C53" s="75">
        <v>0</v>
      </c>
    </row>
    <row r="54" spans="1:3" x14ac:dyDescent="0.25">
      <c r="A54" s="6" t="s">
        <v>497</v>
      </c>
      <c r="B54" s="8">
        <v>0</v>
      </c>
      <c r="C54" s="8">
        <v>0</v>
      </c>
    </row>
    <row r="55" spans="1:3" x14ac:dyDescent="0.25">
      <c r="A55" s="7" t="s">
        <v>498</v>
      </c>
      <c r="B55" s="75">
        <v>0</v>
      </c>
      <c r="C55" s="75">
        <v>0</v>
      </c>
    </row>
    <row r="56" spans="1:3" x14ac:dyDescent="0.25">
      <c r="A56" s="6" t="s">
        <v>499</v>
      </c>
      <c r="B56" s="8">
        <v>0</v>
      </c>
      <c r="C56" s="8">
        <v>0</v>
      </c>
    </row>
    <row r="57" spans="1:3" x14ac:dyDescent="0.25">
      <c r="A57" s="7" t="s">
        <v>500</v>
      </c>
      <c r="B57" s="75">
        <v>0</v>
      </c>
      <c r="C57" s="75">
        <v>0</v>
      </c>
    </row>
    <row r="58" spans="1:3" x14ac:dyDescent="0.25">
      <c r="A58" s="6" t="s">
        <v>501</v>
      </c>
      <c r="B58" s="8">
        <v>0</v>
      </c>
      <c r="C58" s="8">
        <v>0</v>
      </c>
    </row>
    <row r="59" spans="1:3" x14ac:dyDescent="0.25">
      <c r="A59" s="7" t="s">
        <v>502</v>
      </c>
      <c r="B59" s="75">
        <v>0</v>
      </c>
      <c r="C59" s="75">
        <v>0</v>
      </c>
    </row>
    <row r="60" spans="1:3" x14ac:dyDescent="0.25">
      <c r="A60" s="6" t="s">
        <v>503</v>
      </c>
      <c r="B60" s="8">
        <v>0</v>
      </c>
      <c r="C60" s="8">
        <v>0</v>
      </c>
    </row>
    <row r="61" spans="1:3" x14ac:dyDescent="0.25">
      <c r="A61" s="7" t="s">
        <v>504</v>
      </c>
      <c r="B61" s="75">
        <v>0</v>
      </c>
      <c r="C61" s="75">
        <v>0</v>
      </c>
    </row>
    <row r="62" spans="1:3" x14ac:dyDescent="0.25">
      <c r="A62" s="6" t="s">
        <v>505</v>
      </c>
      <c r="B62" s="8">
        <v>0</v>
      </c>
      <c r="C62" s="8">
        <v>0</v>
      </c>
    </row>
    <row r="63" spans="1:3" x14ac:dyDescent="0.25">
      <c r="A63" s="78" t="s">
        <v>136</v>
      </c>
      <c r="B63" s="79">
        <v>0</v>
      </c>
      <c r="C63" s="79">
        <v>0</v>
      </c>
    </row>
    <row r="66" ht="16.5" customHeight="1" spans="1:14" x14ac:dyDescent="0.25">
      <c r="A66" s="1" t="s">
        <v>507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7" t="s">
        <v>508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ht="28" customHeight="1" spans="1:14" x14ac:dyDescent="0.25">
      <c r="A68" s="74" t="s">
        <v>123</v>
      </c>
      <c r="B68" s="74" t="s">
        <v>136</v>
      </c>
      <c r="C68" s="74" t="s">
        <v>494</v>
      </c>
      <c r="D68" s="74" t="s">
        <v>495</v>
      </c>
      <c r="E68" s="74" t="s">
        <v>496</v>
      </c>
      <c r="F68" s="74" t="s">
        <v>497</v>
      </c>
      <c r="G68" s="74" t="s">
        <v>498</v>
      </c>
      <c r="H68" s="74" t="s">
        <v>499</v>
      </c>
      <c r="I68" s="74" t="s">
        <v>500</v>
      </c>
      <c r="J68" s="74" t="s">
        <v>501</v>
      </c>
      <c r="K68" s="74" t="s">
        <v>502</v>
      </c>
      <c r="L68" s="74" t="s">
        <v>503</v>
      </c>
      <c r="M68" s="74" t="s">
        <v>504</v>
      </c>
      <c r="N68" s="74" t="s">
        <v>505</v>
      </c>
    </row>
    <row r="69" spans="1:14" x14ac:dyDescent="0.25">
      <c r="A69" s="7" t="s">
        <v>509</v>
      </c>
      <c r="B69" s="75">
        <v>1241319</v>
      </c>
      <c r="C69" s="75">
        <v>1241319</v>
      </c>
      <c r="D69" s="75">
        <v>1241319</v>
      </c>
      <c r="E69" s="75">
        <v>1241319</v>
      </c>
      <c r="F69" s="75">
        <v>1241319</v>
      </c>
      <c r="G69" s="75">
        <v>1241319</v>
      </c>
      <c r="H69" s="75">
        <v>1241319</v>
      </c>
      <c r="I69" s="75">
        <v>1241319</v>
      </c>
      <c r="J69" s="75">
        <v>1241319</v>
      </c>
      <c r="K69" s="75">
        <v>1241319</v>
      </c>
      <c r="L69" s="75">
        <v>1241319</v>
      </c>
      <c r="M69" s="75">
        <v>1241319</v>
      </c>
      <c r="N69" s="75">
        <v>1241319</v>
      </c>
    </row>
    <row r="70" spans="1:14" x14ac:dyDescent="0.25">
      <c r="A70" s="6" t="s">
        <v>510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</row>
    <row r="71" spans="1:14" x14ac:dyDescent="0.25">
      <c r="A71" s="7" t="s">
        <v>511</v>
      </c>
      <c r="B71" s="75">
        <v>0</v>
      </c>
      <c r="C71" s="75">
        <v>0</v>
      </c>
      <c r="D71" s="75">
        <v>0</v>
      </c>
      <c r="E71" s="75">
        <v>0</v>
      </c>
      <c r="F71" s="75">
        <v>0</v>
      </c>
      <c r="G71" s="75">
        <v>0</v>
      </c>
      <c r="H71" s="75">
        <v>0</v>
      </c>
      <c r="I71" s="75">
        <v>0</v>
      </c>
      <c r="J71" s="75">
        <v>0</v>
      </c>
      <c r="K71" s="75">
        <v>0</v>
      </c>
      <c r="L71" s="75">
        <v>0</v>
      </c>
      <c r="M71" s="75">
        <v>0</v>
      </c>
      <c r="N71" s="75">
        <v>0</v>
      </c>
    </row>
    <row r="72" spans="1:14" x14ac:dyDescent="0.25">
      <c r="A72" s="6" t="s">
        <v>512</v>
      </c>
      <c r="B72" s="8">
        <v>-124235</v>
      </c>
      <c r="C72" s="8">
        <v>-124235</v>
      </c>
      <c r="D72" s="8">
        <v>-124235</v>
      </c>
      <c r="E72" s="8">
        <v>-124235</v>
      </c>
      <c r="F72" s="8">
        <v>-124235</v>
      </c>
      <c r="G72" s="8">
        <v>-124235</v>
      </c>
      <c r="H72" s="8">
        <v>-124235</v>
      </c>
      <c r="I72" s="8">
        <v>-124235</v>
      </c>
      <c r="J72" s="8">
        <v>-124235</v>
      </c>
      <c r="K72" s="8">
        <v>-124235</v>
      </c>
      <c r="L72" s="8">
        <v>-124235</v>
      </c>
      <c r="M72" s="8">
        <v>-124235</v>
      </c>
      <c r="N72" s="8">
        <v>-124235</v>
      </c>
    </row>
    <row r="73" spans="1:14" x14ac:dyDescent="0.25">
      <c r="A73" s="7" t="s">
        <v>513</v>
      </c>
      <c r="B73" s="75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</row>
    <row r="74" spans="1:14" x14ac:dyDescent="0.25">
      <c r="A74" s="6" t="s">
        <v>514</v>
      </c>
      <c r="B74" s="8">
        <v>124321.56</v>
      </c>
      <c r="C74" s="8">
        <v>124321.56</v>
      </c>
      <c r="D74" s="8">
        <v>124321.56</v>
      </c>
      <c r="E74" s="8">
        <v>124321.56</v>
      </c>
      <c r="F74" s="8">
        <v>124321.56</v>
      </c>
      <c r="G74" s="8">
        <v>124321.56</v>
      </c>
      <c r="H74" s="8">
        <v>124321.56</v>
      </c>
      <c r="I74" s="8">
        <v>124321.56</v>
      </c>
      <c r="J74" s="8">
        <v>124321.56</v>
      </c>
      <c r="K74" s="8">
        <v>124321.56</v>
      </c>
      <c r="L74" s="8">
        <v>124321.56</v>
      </c>
      <c r="M74" s="8">
        <v>124321.56</v>
      </c>
      <c r="N74" s="8">
        <v>124321.56</v>
      </c>
    </row>
    <row r="75" spans="1:14" x14ac:dyDescent="0.25">
      <c r="A75" s="7" t="s">
        <v>515</v>
      </c>
      <c r="B75" s="75">
        <v>0</v>
      </c>
      <c r="C75" s="75">
        <v>0</v>
      </c>
      <c r="D75" s="75">
        <v>0</v>
      </c>
      <c r="E75" s="75">
        <v>0</v>
      </c>
      <c r="F75" s="75">
        <v>0</v>
      </c>
      <c r="G75" s="75">
        <v>0</v>
      </c>
      <c r="H75" s="75">
        <v>0</v>
      </c>
      <c r="I75" s="75">
        <v>0</v>
      </c>
      <c r="J75" s="75">
        <v>0</v>
      </c>
      <c r="K75" s="75">
        <v>0</v>
      </c>
      <c r="L75" s="75">
        <v>0</v>
      </c>
      <c r="M75" s="75">
        <v>0</v>
      </c>
      <c r="N75" s="75">
        <v>0</v>
      </c>
    </row>
    <row r="76" spans="1:14" x14ac:dyDescent="0.25">
      <c r="A76" s="6" t="s">
        <v>516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</row>
    <row r="77" spans="1:14" x14ac:dyDescent="0.25">
      <c r="A77" s="7" t="s">
        <v>517</v>
      </c>
      <c r="B77" s="75">
        <v>0</v>
      </c>
      <c r="C77" s="75">
        <v>0</v>
      </c>
      <c r="D77" s="75">
        <v>0</v>
      </c>
      <c r="E77" s="75">
        <v>0</v>
      </c>
      <c r="F77" s="75">
        <v>0</v>
      </c>
      <c r="G77" s="75">
        <v>0</v>
      </c>
      <c r="H77" s="75">
        <v>0</v>
      </c>
      <c r="I77" s="75">
        <v>0</v>
      </c>
      <c r="J77" s="75">
        <v>0</v>
      </c>
      <c r="K77" s="75">
        <v>0</v>
      </c>
      <c r="L77" s="75">
        <v>0</v>
      </c>
      <c r="M77" s="75">
        <v>0</v>
      </c>
      <c r="N77" s="75">
        <v>0</v>
      </c>
    </row>
    <row r="79" spans="1:14" x14ac:dyDescent="0.25">
      <c r="A79" s="7" t="s">
        <v>393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ht="28" customHeight="1" spans="1:14" x14ac:dyDescent="0.25">
      <c r="A80" s="74" t="s">
        <v>123</v>
      </c>
      <c r="B80" s="74" t="s">
        <v>136</v>
      </c>
      <c r="C80" s="74" t="s">
        <v>494</v>
      </c>
      <c r="D80" s="74" t="s">
        <v>495</v>
      </c>
      <c r="E80" s="74" t="s">
        <v>496</v>
      </c>
      <c r="F80" s="74" t="s">
        <v>497</v>
      </c>
      <c r="G80" s="74" t="s">
        <v>498</v>
      </c>
      <c r="H80" s="74" t="s">
        <v>499</v>
      </c>
      <c r="I80" s="74" t="s">
        <v>500</v>
      </c>
      <c r="J80" s="74" t="s">
        <v>501</v>
      </c>
      <c r="K80" s="74" t="s">
        <v>502</v>
      </c>
      <c r="L80" s="74" t="s">
        <v>503</v>
      </c>
      <c r="M80" s="74" t="s">
        <v>504</v>
      </c>
      <c r="N80" s="74" t="s">
        <v>505</v>
      </c>
    </row>
    <row r="81" spans="1:14" x14ac:dyDescent="0.25">
      <c r="A81" s="7" t="s">
        <v>509</v>
      </c>
      <c r="B81" s="75">
        <v>1234567.56</v>
      </c>
      <c r="C81" s="75">
        <v>1234567.56</v>
      </c>
      <c r="D81" s="75">
        <v>1234567.56</v>
      </c>
      <c r="E81" s="75">
        <v>1234567.56</v>
      </c>
      <c r="F81" s="75">
        <v>1234567.56</v>
      </c>
      <c r="G81" s="75">
        <v>1234567.56</v>
      </c>
      <c r="H81" s="75">
        <v>1234567.56</v>
      </c>
      <c r="I81" s="75">
        <v>1234567.56</v>
      </c>
      <c r="J81" s="75">
        <v>1234567.56</v>
      </c>
      <c r="K81" s="75">
        <v>1234567.56</v>
      </c>
      <c r="L81" s="75">
        <v>1234567.56</v>
      </c>
      <c r="M81" s="75">
        <v>1234567.56</v>
      </c>
      <c r="N81" s="75">
        <v>1234567.56</v>
      </c>
    </row>
    <row r="82" spans="1:14" x14ac:dyDescent="0.25">
      <c r="A82" s="6" t="s">
        <v>512</v>
      </c>
      <c r="B82" s="8">
        <v>1234567.5</v>
      </c>
      <c r="C82" s="8">
        <v>1234567.5</v>
      </c>
      <c r="D82" s="8">
        <v>1234567.5</v>
      </c>
      <c r="E82" s="8">
        <v>1234567.5</v>
      </c>
      <c r="F82" s="8">
        <v>1234567.5</v>
      </c>
      <c r="G82" s="8">
        <v>1234567.5</v>
      </c>
      <c r="H82" s="8">
        <v>1234567.5</v>
      </c>
      <c r="I82" s="8">
        <v>1234567.5</v>
      </c>
      <c r="J82" s="8">
        <v>1234567.5</v>
      </c>
      <c r="K82" s="8">
        <v>1234567.5</v>
      </c>
      <c r="L82" s="8">
        <v>1234567.5</v>
      </c>
      <c r="M82" s="8">
        <v>1234567.5</v>
      </c>
      <c r="N82" s="8">
        <v>1234567.5</v>
      </c>
    </row>
    <row r="83" spans="1:14" x14ac:dyDescent="0.25">
      <c r="A83" s="7" t="s">
        <v>518</v>
      </c>
      <c r="B83" s="75">
        <v>0</v>
      </c>
      <c r="C83" s="75">
        <v>0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</row>
    <row r="84" spans="1:14" x14ac:dyDescent="0.25">
      <c r="A84" s="6" t="s">
        <v>519</v>
      </c>
      <c r="B84" s="8">
        <v>12345</v>
      </c>
      <c r="C84" s="8">
        <v>12345</v>
      </c>
      <c r="D84" s="8">
        <v>12345</v>
      </c>
      <c r="E84" s="8">
        <v>12345</v>
      </c>
      <c r="F84" s="8">
        <v>12345</v>
      </c>
      <c r="G84" s="8">
        <v>12345</v>
      </c>
      <c r="H84" s="8">
        <v>12345</v>
      </c>
      <c r="I84" s="8">
        <v>12345</v>
      </c>
      <c r="J84" s="8">
        <v>12345</v>
      </c>
      <c r="K84" s="8">
        <v>12345</v>
      </c>
      <c r="L84" s="8">
        <v>12345</v>
      </c>
      <c r="M84" s="8">
        <v>12345</v>
      </c>
      <c r="N84" s="8">
        <v>12345</v>
      </c>
    </row>
  </sheetData>
  <mergeCells count="9">
    <mergeCell ref="A1:B1"/>
    <mergeCell ref="A2:B2"/>
    <mergeCell ref="A23:D23"/>
    <mergeCell ref="A32:E32"/>
    <mergeCell ref="A33:E33"/>
    <mergeCell ref="A49:E49"/>
    <mergeCell ref="A66:N66"/>
    <mergeCell ref="A67:N67"/>
    <mergeCell ref="A79:N79"/>
  </mergeCells>
  <printOptions horizontalCentered="1"/>
  <pageMargins left="0.25" right="0.25" top="0.55" bottom="0.45" header="0.25" footer="0.25"/>
  <pageSetup orientation="landscape" fitToWidth="1" fitToHeight="0"/>
  <headerFooter>
    <oddHeader>&amp;C&amp;"Arial,Bold"&amp;14GST Analysis</oddHeader>
    <oddFooter>&amp;L&amp;"Arial"&amp;9Loan Application Summary&amp;C&amp;"Arial"&amp;9Page &amp;P of &amp;N&amp;R&amp;"Arial"&amp;9Generated by Cred2Tech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  <pageSetUpPr fitToPage="1"/>
  </sheetPr>
  <dimension ref="A1:E13"/>
  <sheetViews>
    <sheetView workbookViewId="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32" customWidth="1"/>
    <col min="2" max="2" width="22" customWidth="1"/>
    <col min="3" max="4" width="16" customWidth="1"/>
    <col min="5" max="5" width="14" customWidth="1"/>
  </cols>
  <sheetData>
    <row r="1" ht="34" customHeight="1" spans="1:4" x14ac:dyDescent="0.25">
      <c r="A1" s="1" t="s">
        <v>520</v>
      </c>
      <c r="B1" s="1"/>
      <c r="C1" s="1"/>
      <c r="D1" s="1"/>
    </row>
    <row r="2" ht="22" customHeight="1" spans="1:5" x14ac:dyDescent="0.25">
      <c r="A2" s="4" t="s">
        <v>521</v>
      </c>
      <c r="B2" s="4"/>
      <c r="C2" s="4"/>
      <c r="D2" s="4"/>
      <c r="E2" s="4"/>
    </row>
    <row r="3" ht="26" customHeight="1" spans="1:5" x14ac:dyDescent="0.25">
      <c r="A3" s="5" t="s">
        <v>102</v>
      </c>
      <c r="B3" s="5" t="s">
        <v>18</v>
      </c>
      <c r="C3" s="5" t="s">
        <v>103</v>
      </c>
      <c r="D3" s="5" t="s">
        <v>49</v>
      </c>
      <c r="E3" s="5" t="s">
        <v>522</v>
      </c>
    </row>
    <row r="4" ht="24" customHeight="1" spans="1:5" x14ac:dyDescent="0.25">
      <c r="A4" s="6" t="s">
        <v>24</v>
      </c>
      <c r="B4" s="6" t="s">
        <v>24</v>
      </c>
      <c r="C4" s="6" t="s">
        <v>76</v>
      </c>
      <c r="D4" s="80">
        <v>810</v>
      </c>
      <c r="E4" s="6" t="s">
        <v>23</v>
      </c>
    </row>
    <row r="5" ht="22" customHeight="1" spans="1:5" x14ac:dyDescent="0.25">
      <c r="A5" s="6" t="s">
        <v>30</v>
      </c>
      <c r="B5" s="6" t="s">
        <v>32</v>
      </c>
      <c r="C5" s="6" t="s">
        <v>523</v>
      </c>
      <c r="D5" s="81">
        <v>816</v>
      </c>
      <c r="E5" s="6" t="s">
        <v>31</v>
      </c>
    </row>
    <row r="7" spans="1:1" x14ac:dyDescent="0.25">
      <c r="A7" t="s">
        <v>524</v>
      </c>
    </row>
    <row r="8" ht="22" customHeight="1" spans="1:5" x14ac:dyDescent="0.25">
      <c r="A8" s="4" t="s">
        <v>525</v>
      </c>
      <c r="B8" s="4"/>
      <c r="C8" s="4"/>
      <c r="D8" s="4"/>
      <c r="E8" s="4"/>
    </row>
    <row r="9" ht="26" customHeight="1" spans="1:5" x14ac:dyDescent="0.25">
      <c r="A9" s="5" t="s">
        <v>526</v>
      </c>
      <c r="B9" s="5" t="s">
        <v>527</v>
      </c>
      <c r="C9" s="5" t="s">
        <v>528</v>
      </c>
      <c r="D9" s="5" t="s">
        <v>529</v>
      </c>
      <c r="E9" s="5" t="s">
        <v>80</v>
      </c>
    </row>
    <row r="10" ht="22" customHeight="1" spans="1:5" x14ac:dyDescent="0.25">
      <c r="A10" s="6" t="s">
        <v>530</v>
      </c>
      <c r="B10" s="6" t="s">
        <v>531</v>
      </c>
      <c r="C10" s="8">
        <v>105263.16</v>
      </c>
      <c r="D10" s="8">
        <v>600000</v>
      </c>
      <c r="E10" s="82" t="s">
        <v>532</v>
      </c>
    </row>
    <row r="11" ht="22" customHeight="1" spans="1:5" x14ac:dyDescent="0.25">
      <c r="A11" s="7" t="s">
        <v>533</v>
      </c>
      <c r="B11" s="7" t="s">
        <v>534</v>
      </c>
      <c r="C11" s="8">
        <v>8000</v>
      </c>
      <c r="D11" s="8">
        <v>20000</v>
      </c>
      <c r="E11" s="82" t="s">
        <v>532</v>
      </c>
    </row>
    <row r="12" ht="22" customHeight="1" spans="1:5" x14ac:dyDescent="0.25">
      <c r="A12" s="6" t="s">
        <v>535</v>
      </c>
      <c r="B12" s="6" t="s">
        <v>536</v>
      </c>
      <c r="C12" s="8">
        <v>64000</v>
      </c>
      <c r="D12" s="8">
        <v>1200000</v>
      </c>
      <c r="E12" s="82" t="s">
        <v>532</v>
      </c>
    </row>
    <row r="13" ht="22" customHeight="1" spans="1:5" x14ac:dyDescent="0.25">
      <c r="A13" s="7" t="s">
        <v>530</v>
      </c>
      <c r="B13" s="7" t="s">
        <v>531</v>
      </c>
      <c r="C13" s="8">
        <v>105263.16</v>
      </c>
      <c r="D13" s="8">
        <v>600000</v>
      </c>
      <c r="E13" s="82" t="s">
        <v>532</v>
      </c>
    </row>
  </sheetData>
  <mergeCells count="1">
    <mergeCell ref="A1:D1"/>
  </mergeCells>
  <printOptions horizontalCentered="1"/>
  <pageMargins left="0.25" right="0.25" top="0.55" bottom="0.45" header="0.25" footer="0.25"/>
  <pageSetup orientation="landscape" fitToWidth="1" fitToHeight="0"/>
  <headerFooter>
    <oddHeader>&amp;C&amp;"Arial,Bold"&amp;14Cibil - Transunion</oddHeader>
    <oddFooter>&amp;L&amp;"Arial"&amp;9Loan Application Summary&amp;C&amp;"Arial"&amp;9Page &amp;P of &amp;N&amp;R&amp;"Arial"&amp;9Generated by Cred2Tech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D8"/>
    <pageSetUpPr fitToPage="1"/>
  </sheetPr>
  <dimension ref="A1:P66"/>
  <sheetViews>
    <sheetView workbookViewId="0">
      <pane ySplit="1" topLeftCell="A2" activePane="bottomLeft" state="frozen"/>
      <selection pane="bottomLeft"/>
    </sheetView>
  </sheetViews>
  <sheetFormatPr defaultRowHeight="14.5" outlineLevelRow="0" outlineLevelCol="0" x14ac:dyDescent="0.35" defaultColWidth="14.453125" customHeight="1"/>
  <cols>
    <col min="1" max="1" width="36" style="10" customWidth="1"/>
    <col min="2" max="16" width="14" style="10" customWidth="1"/>
    <col min="17" max="26" width="8.6328125" style="10" customWidth="1"/>
    <col min="27" max="16384" width="14.453125" style="10" customWidth="1"/>
  </cols>
  <sheetData>
    <row r="1" ht="34" customHeight="1" spans="1:16" x14ac:dyDescent="0.25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1" customHeight="1" spans="1:2" x14ac:dyDescent="0.25">
      <c r="A2" s="7" t="s">
        <v>108</v>
      </c>
      <c r="B2" s="7" t="s">
        <v>4</v>
      </c>
    </row>
    <row r="3" ht="21" customHeight="1" spans="1:2" x14ac:dyDescent="0.25">
      <c r="A3" s="11" t="s">
        <v>109</v>
      </c>
      <c r="B3" s="6" t="s">
        <v>4</v>
      </c>
    </row>
    <row r="4" ht="21" customHeight="1" spans="1:2" x14ac:dyDescent="0.25">
      <c r="A4" s="11" t="s">
        <v>110</v>
      </c>
      <c r="B4" s="6" t="s">
        <v>4</v>
      </c>
    </row>
    <row r="5" ht="21" customHeight="1" spans="1:2" x14ac:dyDescent="0.25">
      <c r="A5" s="11" t="s">
        <v>111</v>
      </c>
      <c r="B5" s="6" t="s">
        <v>76</v>
      </c>
    </row>
    <row r="6" ht="21" customHeight="1" spans="1:2" x14ac:dyDescent="0.25">
      <c r="A6" s="11" t="s">
        <v>112</v>
      </c>
      <c r="B6" s="6" t="s">
        <v>76</v>
      </c>
    </row>
    <row r="7" ht="21" customHeight="1" spans="1:2" x14ac:dyDescent="0.25">
      <c r="A7" s="11" t="s">
        <v>113</v>
      </c>
      <c r="B7" s="6" t="s">
        <v>76</v>
      </c>
    </row>
    <row r="8" ht="21" customHeight="1" spans="1:2" x14ac:dyDescent="0.25">
      <c r="A8" s="11" t="s">
        <v>114</v>
      </c>
      <c r="B8" s="6" t="s">
        <v>115</v>
      </c>
    </row>
    <row r="9" ht="21" customHeight="1" spans="1:2" x14ac:dyDescent="0.25">
      <c r="A9" s="11" t="s">
        <v>116</v>
      </c>
      <c r="B9" s="6" t="s">
        <v>4</v>
      </c>
    </row>
    <row r="10" ht="21" customHeight="1" spans="1:2" x14ac:dyDescent="0.25">
      <c r="A10" s="11" t="s">
        <v>117</v>
      </c>
      <c r="B10" s="6" t="s">
        <v>76</v>
      </c>
    </row>
    <row r="11" ht="21" customHeight="1" spans="1:2" x14ac:dyDescent="0.25">
      <c r="A11" s="11" t="s">
        <v>118</v>
      </c>
      <c r="B11" s="6" t="s">
        <v>76</v>
      </c>
    </row>
    <row r="12" spans="1:2" x14ac:dyDescent="0.25">
      <c r="A12" s="11" t="s">
        <v>119</v>
      </c>
      <c r="B12" s="6" t="s">
        <v>120</v>
      </c>
    </row>
    <row r="13" ht="22" customHeight="1" spans="1:16" x14ac:dyDescent="0.25">
      <c r="A13" s="4" t="s">
        <v>121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5" ht="21" customHeight="1" spans="1:1" x14ac:dyDescent="0.25">
      <c r="A15" s="12" t="s">
        <v>122</v>
      </c>
    </row>
    <row r="16" spans="1:16" x14ac:dyDescent="0.25">
      <c r="A16" s="13" t="s">
        <v>123</v>
      </c>
      <c r="B16" s="13" t="s">
        <v>124</v>
      </c>
      <c r="C16" s="13" t="s">
        <v>125</v>
      </c>
      <c r="D16" s="13" t="s">
        <v>126</v>
      </c>
      <c r="E16" s="13" t="s">
        <v>127</v>
      </c>
      <c r="F16" s="13" t="s">
        <v>128</v>
      </c>
      <c r="G16" s="13" t="s">
        <v>129</v>
      </c>
      <c r="H16" s="13" t="s">
        <v>130</v>
      </c>
      <c r="I16" s="13" t="s">
        <v>131</v>
      </c>
      <c r="J16" s="13" t="s">
        <v>132</v>
      </c>
      <c r="K16" s="13" t="s">
        <v>133</v>
      </c>
      <c r="L16" s="13" t="s">
        <v>134</v>
      </c>
      <c r="M16" s="13" t="s">
        <v>135</v>
      </c>
      <c r="N16" s="13" t="s">
        <v>136</v>
      </c>
      <c r="O16" s="10" t="s">
        <v>137</v>
      </c>
      <c r="P16" s="10" t="s">
        <v>138</v>
      </c>
    </row>
    <row r="17" spans="1:16" x14ac:dyDescent="0.25">
      <c r="A17" s="14" t="s">
        <v>139</v>
      </c>
      <c r="B17" s="8">
        <v>78246.03</v>
      </c>
      <c r="C17" s="8">
        <v>88002.06</v>
      </c>
      <c r="D17" s="8">
        <v>99649.52</v>
      </c>
      <c r="E17" s="8">
        <v>356212.35</v>
      </c>
      <c r="F17" s="8">
        <v>1550261.5</v>
      </c>
      <c r="G17" s="8">
        <v>253305</v>
      </c>
      <c r="H17" s="8">
        <v>117304.54</v>
      </c>
      <c r="I17" s="8">
        <v>177835.93</v>
      </c>
      <c r="J17" s="8">
        <v>326915.43</v>
      </c>
      <c r="K17" s="8">
        <v>126343.96</v>
      </c>
      <c r="L17" s="8">
        <v>1677010.08</v>
      </c>
      <c r="M17" s="8">
        <v>598940.07</v>
      </c>
      <c r="N17" s="8">
        <v>454168.87</v>
      </c>
      <c r="O17" s="10" t="s">
        <v>140</v>
      </c>
      <c r="P17" s="15" t="s">
        <v>141</v>
      </c>
    </row>
    <row r="18" spans="1:16" x14ac:dyDescent="0.25">
      <c r="A18" s="14" t="s">
        <v>142</v>
      </c>
      <c r="B18" s="16">
        <v>5061182.57</v>
      </c>
      <c r="C18" s="8">
        <v>3024869.09</v>
      </c>
      <c r="D18" s="8">
        <v>6343996.8</v>
      </c>
      <c r="E18" s="8">
        <v>6097755.07</v>
      </c>
      <c r="F18" s="8">
        <v>8637530.07</v>
      </c>
      <c r="G18" s="8">
        <v>7364181.7</v>
      </c>
      <c r="H18" s="8">
        <v>7054908.56</v>
      </c>
      <c r="I18" s="8">
        <v>7921150.84</v>
      </c>
      <c r="J18" s="8">
        <v>7060971.72</v>
      </c>
      <c r="K18" s="8">
        <v>6310864.27</v>
      </c>
      <c r="L18" s="8">
        <v>8396467.76</v>
      </c>
      <c r="M18" s="8">
        <v>3021557.32</v>
      </c>
      <c r="N18" s="8">
        <v>76295435.77</v>
      </c>
      <c r="O18" s="10" t="s">
        <v>143</v>
      </c>
      <c r="P18" s="10" t="s">
        <v>144</v>
      </c>
    </row>
    <row r="19" spans="1:16" x14ac:dyDescent="0.25">
      <c r="A19" s="14" t="s">
        <v>145</v>
      </c>
      <c r="B19" s="16">
        <v>5070938.6</v>
      </c>
      <c r="C19" s="8">
        <v>3036516.55</v>
      </c>
      <c r="D19" s="8">
        <v>6600559.63</v>
      </c>
      <c r="E19" s="8">
        <v>7291804.22</v>
      </c>
      <c r="F19" s="8">
        <v>7340573.57</v>
      </c>
      <c r="G19" s="8">
        <v>7228181.24</v>
      </c>
      <c r="H19" s="8">
        <v>7115439.95</v>
      </c>
      <c r="I19" s="8">
        <v>8070230.34</v>
      </c>
      <c r="J19" s="8">
        <v>6860400.25</v>
      </c>
      <c r="K19" s="8">
        <v>7861530.39</v>
      </c>
      <c r="L19" s="8">
        <v>7318397.75</v>
      </c>
      <c r="M19" s="8">
        <v>3405164.01</v>
      </c>
      <c r="N19" s="8">
        <v>13502621.08</v>
      </c>
      <c r="O19" s="10" t="s">
        <v>143</v>
      </c>
      <c r="P19" s="10" t="s">
        <v>146</v>
      </c>
    </row>
    <row r="20" spans="1:16" x14ac:dyDescent="0.25">
      <c r="A20" s="14" t="s">
        <v>147</v>
      </c>
      <c r="B20" s="8">
        <v>88002.06</v>
      </c>
      <c r="C20" s="8">
        <v>99649.52</v>
      </c>
      <c r="D20" s="8">
        <v>356212.35</v>
      </c>
      <c r="E20" s="8">
        <v>1550261.5</v>
      </c>
      <c r="F20" s="8">
        <v>253305</v>
      </c>
      <c r="G20" s="8">
        <v>117304.54</v>
      </c>
      <c r="H20" s="8">
        <v>177835.93</v>
      </c>
      <c r="I20" s="8">
        <v>326915.43</v>
      </c>
      <c r="J20" s="8">
        <v>126343.96</v>
      </c>
      <c r="K20" s="8">
        <v>1677010.08</v>
      </c>
      <c r="L20" s="8">
        <v>598940.07</v>
      </c>
      <c r="M20" s="8">
        <v>982546.76</v>
      </c>
      <c r="N20" s="8">
        <v>529527.27</v>
      </c>
      <c r="O20" s="10" t="s">
        <v>140</v>
      </c>
      <c r="P20" s="15" t="s">
        <v>147</v>
      </c>
    </row>
    <row r="21" ht="43.5" customHeight="1" spans="1:14" x14ac:dyDescent="0.25">
      <c r="A21" s="14" t="s">
        <v>148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</row>
    <row r="22" spans="1:14" x14ac:dyDescent="0.25">
      <c r="A22" s="14" t="s">
        <v>149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</row>
    <row r="23" ht="29" customHeight="1" spans="1:14" x14ac:dyDescent="0.25">
      <c r="A23" s="14" t="s">
        <v>150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spans="1:14" x14ac:dyDescent="0.25">
      <c r="A24" s="14" t="s">
        <v>151</v>
      </c>
      <c r="B24" s="18">
        <v>148</v>
      </c>
      <c r="C24" s="17">
        <v>124</v>
      </c>
      <c r="D24" s="17">
        <v>139</v>
      </c>
      <c r="E24" s="17">
        <v>165</v>
      </c>
      <c r="F24" s="17">
        <v>121</v>
      </c>
      <c r="G24" s="17">
        <v>131</v>
      </c>
      <c r="H24" s="17">
        <v>149</v>
      </c>
      <c r="I24" s="17">
        <v>142</v>
      </c>
      <c r="J24" s="17">
        <v>187</v>
      </c>
      <c r="K24" s="17">
        <v>135</v>
      </c>
      <c r="L24" s="17">
        <v>148</v>
      </c>
      <c r="M24" s="17">
        <v>119</v>
      </c>
      <c r="N24" s="17">
        <v>1708</v>
      </c>
    </row>
    <row r="25" spans="1:14" x14ac:dyDescent="0.25">
      <c r="A25" s="14" t="s">
        <v>152</v>
      </c>
      <c r="B25" s="18">
        <v>55</v>
      </c>
      <c r="C25" s="17">
        <v>46</v>
      </c>
      <c r="D25" s="17">
        <v>95</v>
      </c>
      <c r="E25" s="17">
        <v>111</v>
      </c>
      <c r="F25" s="17">
        <v>129</v>
      </c>
      <c r="G25" s="17">
        <v>110</v>
      </c>
      <c r="H25" s="17">
        <v>117</v>
      </c>
      <c r="I25" s="17">
        <v>109</v>
      </c>
      <c r="J25" s="17">
        <v>143</v>
      </c>
      <c r="K25" s="17">
        <v>116</v>
      </c>
      <c r="L25" s="17">
        <v>111</v>
      </c>
      <c r="M25" s="17">
        <v>97</v>
      </c>
      <c r="N25" s="17">
        <v>1239</v>
      </c>
    </row>
    <row r="26" spans="1:14" x14ac:dyDescent="0.25">
      <c r="A26" s="14" t="s">
        <v>153</v>
      </c>
      <c r="B26" s="8">
        <v>11964.52</v>
      </c>
      <c r="C26" s="8">
        <v>17239.67</v>
      </c>
      <c r="D26" s="8">
        <v>17336.65</v>
      </c>
      <c r="E26" s="8">
        <v>69773.81</v>
      </c>
      <c r="F26" s="8">
        <v>54712.48</v>
      </c>
      <c r="G26" s="8">
        <v>117304.54</v>
      </c>
      <c r="H26" s="8">
        <v>74804.72</v>
      </c>
      <c r="I26" s="8">
        <v>94960.73</v>
      </c>
      <c r="J26" s="8">
        <v>48584.73</v>
      </c>
      <c r="K26" s="8">
        <v>649268.97</v>
      </c>
      <c r="L26" s="8">
        <v>446287.68</v>
      </c>
      <c r="M26" s="8">
        <v>115731.01</v>
      </c>
      <c r="N26" s="8">
        <v>143164.13</v>
      </c>
    </row>
    <row r="27" spans="1:14" x14ac:dyDescent="0.25">
      <c r="A27" s="14" t="s">
        <v>154</v>
      </c>
      <c r="B27" s="8">
        <v>991947.76</v>
      </c>
      <c r="C27" s="8">
        <v>924184.86</v>
      </c>
      <c r="D27" s="8">
        <v>710586.87</v>
      </c>
      <c r="E27" s="8">
        <v>1550261.5</v>
      </c>
      <c r="F27" s="8">
        <v>2013208.63</v>
      </c>
      <c r="G27" s="8">
        <v>1701193.07</v>
      </c>
      <c r="H27" s="8">
        <v>1922529.14</v>
      </c>
      <c r="I27" s="8">
        <v>2899902.08</v>
      </c>
      <c r="J27" s="8">
        <v>1988131.98</v>
      </c>
      <c r="K27" s="8">
        <v>3158732.35</v>
      </c>
      <c r="L27" s="8">
        <v>4779546.89</v>
      </c>
      <c r="M27" s="8">
        <v>982546.76</v>
      </c>
      <c r="N27" s="8">
        <v>281639.33166666667</v>
      </c>
    </row>
    <row r="28" ht="29" customHeight="1" spans="1:14" x14ac:dyDescent="0.25">
      <c r="A28" s="14" t="s">
        <v>155</v>
      </c>
      <c r="B28" s="8">
        <v>219650.12</v>
      </c>
      <c r="C28" s="8">
        <v>201551.08</v>
      </c>
      <c r="D28" s="8">
        <v>250123.71</v>
      </c>
      <c r="E28" s="8">
        <v>670651.72</v>
      </c>
      <c r="F28" s="8">
        <v>430986.03</v>
      </c>
      <c r="G28" s="8">
        <v>792245.98</v>
      </c>
      <c r="H28" s="8">
        <v>862038.23</v>
      </c>
      <c r="I28" s="8">
        <v>1236877.84</v>
      </c>
      <c r="J28" s="8">
        <v>878384.57</v>
      </c>
      <c r="K28" s="8">
        <v>1329949.48</v>
      </c>
      <c r="L28" s="8">
        <v>1777426.98</v>
      </c>
      <c r="M28" s="8">
        <v>467836.26</v>
      </c>
      <c r="N28" s="8">
        <v>759810.17</v>
      </c>
    </row>
    <row r="29" spans="1:14" x14ac:dyDescent="0.25">
      <c r="A29" s="14" t="s">
        <v>156</v>
      </c>
      <c r="B29" s="8">
        <v>91.5</v>
      </c>
      <c r="C29" s="8">
        <v>120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211.5</v>
      </c>
    </row>
    <row r="30" spans="1:14" x14ac:dyDescent="0.25">
      <c r="A30" s="14" t="s">
        <v>157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1:14" x14ac:dyDescent="0.25">
      <c r="A31" s="14" t="s">
        <v>158</v>
      </c>
      <c r="B31" s="8">
        <v>0</v>
      </c>
      <c r="C31" s="8">
        <v>0</v>
      </c>
      <c r="D31" s="8">
        <v>0</v>
      </c>
      <c r="E31" s="8">
        <v>120146</v>
      </c>
      <c r="F31" s="8">
        <v>0</v>
      </c>
      <c r="G31" s="8">
        <v>2924515</v>
      </c>
      <c r="H31" s="8">
        <v>0</v>
      </c>
      <c r="I31" s="8">
        <v>0</v>
      </c>
      <c r="J31" s="8">
        <v>0</v>
      </c>
      <c r="K31" s="8">
        <v>0</v>
      </c>
      <c r="L31" s="8">
        <v>2499951</v>
      </c>
      <c r="M31" s="8">
        <v>0</v>
      </c>
      <c r="N31" s="8">
        <v>5544612</v>
      </c>
    </row>
    <row r="32" spans="1:14" x14ac:dyDescent="0.25">
      <c r="A32" s="14" t="s">
        <v>159</v>
      </c>
      <c r="B32" s="17">
        <v>1</v>
      </c>
      <c r="C32" s="17">
        <v>1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2</v>
      </c>
    </row>
    <row r="33" ht="29" customHeight="1" spans="1:14" x14ac:dyDescent="0.25">
      <c r="A33" s="14" t="s">
        <v>160</v>
      </c>
      <c r="B33" s="17" t="s">
        <v>161</v>
      </c>
      <c r="C33" s="17" t="s">
        <v>161</v>
      </c>
      <c r="D33" s="17" t="s">
        <v>161</v>
      </c>
      <c r="E33" s="17" t="s">
        <v>161</v>
      </c>
      <c r="F33" s="17" t="s">
        <v>161</v>
      </c>
      <c r="G33" s="17" t="s">
        <v>161</v>
      </c>
      <c r="H33" s="17" t="s">
        <v>161</v>
      </c>
      <c r="I33" s="17" t="s">
        <v>161</v>
      </c>
      <c r="J33" s="17" t="s">
        <v>161</v>
      </c>
      <c r="K33" s="17" t="s">
        <v>161</v>
      </c>
      <c r="L33" s="17" t="s">
        <v>161</v>
      </c>
      <c r="M33" s="17" t="s">
        <v>161</v>
      </c>
      <c r="N33" s="17" t="s">
        <v>161</v>
      </c>
    </row>
    <row r="34" ht="29" customHeight="1" spans="1:14" x14ac:dyDescent="0.25">
      <c r="A34" s="14" t="s">
        <v>162</v>
      </c>
      <c r="B34" s="17" t="s">
        <v>161</v>
      </c>
      <c r="C34" s="17" t="s">
        <v>161</v>
      </c>
      <c r="D34" s="17" t="s">
        <v>161</v>
      </c>
      <c r="E34" s="17" t="s">
        <v>161</v>
      </c>
      <c r="F34" s="17" t="s">
        <v>161</v>
      </c>
      <c r="G34" s="17" t="s">
        <v>161</v>
      </c>
      <c r="H34" s="17" t="s">
        <v>161</v>
      </c>
      <c r="I34" s="17" t="s">
        <v>161</v>
      </c>
      <c r="J34" s="17" t="s">
        <v>161</v>
      </c>
      <c r="K34" s="17" t="s">
        <v>161</v>
      </c>
      <c r="L34" s="17" t="s">
        <v>161</v>
      </c>
      <c r="M34" s="17" t="s">
        <v>161</v>
      </c>
      <c r="N34" s="17" t="s">
        <v>161</v>
      </c>
    </row>
    <row r="35" spans="1:14" x14ac:dyDescent="0.25">
      <c r="A35" s="14" t="s">
        <v>163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x14ac:dyDescent="0.25">
      <c r="A36" s="14" t="s">
        <v>164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2</v>
      </c>
      <c r="K36" s="17">
        <v>0</v>
      </c>
      <c r="L36" s="17">
        <v>0</v>
      </c>
      <c r="M36" s="17">
        <v>0</v>
      </c>
      <c r="N36" s="17">
        <v>2</v>
      </c>
    </row>
    <row r="37" spans="1:14" x14ac:dyDescent="0.25">
      <c r="A37" s="14" t="s">
        <v>165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590</v>
      </c>
      <c r="K37" s="8">
        <v>0</v>
      </c>
      <c r="L37" s="8">
        <v>0</v>
      </c>
      <c r="M37" s="8">
        <v>0</v>
      </c>
      <c r="N37" s="8">
        <v>590</v>
      </c>
    </row>
    <row r="38" spans="1:14" x14ac:dyDescent="0.25">
      <c r="A38" s="14" t="s">
        <v>166</v>
      </c>
      <c r="B38" s="17" t="s">
        <v>161</v>
      </c>
      <c r="C38" s="17" t="s">
        <v>161</v>
      </c>
      <c r="D38" s="17" t="s">
        <v>161</v>
      </c>
      <c r="E38" s="17" t="s">
        <v>161</v>
      </c>
      <c r="F38" s="17" t="s">
        <v>161</v>
      </c>
      <c r="G38" s="17" t="s">
        <v>161</v>
      </c>
      <c r="H38" s="17" t="s">
        <v>161</v>
      </c>
      <c r="I38" s="17" t="s">
        <v>161</v>
      </c>
      <c r="J38" s="17" t="s">
        <v>161</v>
      </c>
      <c r="K38" s="17" t="s">
        <v>161</v>
      </c>
      <c r="L38" s="17" t="s">
        <v>161</v>
      </c>
      <c r="M38" s="17" t="s">
        <v>161</v>
      </c>
      <c r="N38" s="17" t="s">
        <v>161</v>
      </c>
    </row>
    <row r="39" spans="1:14" x14ac:dyDescent="0.25">
      <c r="A39" s="14" t="s">
        <v>167</v>
      </c>
      <c r="B39" s="8">
        <v>5031520.95</v>
      </c>
      <c r="C39" s="8">
        <v>3015815.09</v>
      </c>
      <c r="D39" s="8">
        <v>6333678.65</v>
      </c>
      <c r="E39" s="8">
        <v>6086653.46</v>
      </c>
      <c r="F39" s="8">
        <v>8615066.23</v>
      </c>
      <c r="G39" s="8">
        <v>7350683.7</v>
      </c>
      <c r="H39" s="8">
        <v>6917076.8</v>
      </c>
      <c r="I39" s="8">
        <v>7785560.84</v>
      </c>
      <c r="J39" s="8">
        <v>6925612.6</v>
      </c>
      <c r="K39" s="8">
        <v>6163188.67</v>
      </c>
      <c r="L39" s="8">
        <v>8241419.28</v>
      </c>
      <c r="M39" s="8">
        <v>2497565.32</v>
      </c>
      <c r="N39" s="8">
        <v>13502621.08</v>
      </c>
    </row>
    <row r="40" spans="1:14" x14ac:dyDescent="0.25">
      <c r="A40" s="14" t="s">
        <v>168</v>
      </c>
      <c r="B40" s="8">
        <v>5070847.1</v>
      </c>
      <c r="C40" s="8">
        <v>3036396.55</v>
      </c>
      <c r="D40" s="8">
        <v>6600559.63</v>
      </c>
      <c r="E40" s="8">
        <v>6871658.22</v>
      </c>
      <c r="F40" s="8">
        <v>7290573.57</v>
      </c>
      <c r="G40" s="8">
        <v>4303666.24</v>
      </c>
      <c r="H40" s="8">
        <v>5765439.95</v>
      </c>
      <c r="I40" s="8">
        <v>7800921.34</v>
      </c>
      <c r="J40" s="8">
        <v>6860400.25</v>
      </c>
      <c r="K40" s="8">
        <v>7861530.39</v>
      </c>
      <c r="L40" s="8">
        <v>4418446.75</v>
      </c>
      <c r="M40" s="8">
        <v>3405164.01</v>
      </c>
      <c r="N40" s="8" t="s">
        <v>4</v>
      </c>
    </row>
    <row r="41" spans="1:14" x14ac:dyDescent="0.25">
      <c r="A41" s="14" t="s">
        <v>169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x14ac:dyDescent="0.25">
      <c r="A42" s="14" t="s">
        <v>170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</row>
    <row r="43" spans="1:14" x14ac:dyDescent="0.25">
      <c r="A43" s="14" t="s">
        <v>171</v>
      </c>
      <c r="B43" s="8">
        <v>11964.52</v>
      </c>
      <c r="C43" s="8">
        <v>17239.67</v>
      </c>
      <c r="D43" s="8">
        <v>17336.65</v>
      </c>
      <c r="E43" s="8">
        <v>69773.81</v>
      </c>
      <c r="F43" s="8">
        <v>54712.48</v>
      </c>
      <c r="G43" s="8">
        <v>117304.54</v>
      </c>
      <c r="H43" s="8">
        <v>74804.72</v>
      </c>
      <c r="I43" s="8">
        <v>94960.73</v>
      </c>
      <c r="J43" s="8">
        <v>48584.73</v>
      </c>
      <c r="K43" s="8">
        <v>649268.97</v>
      </c>
      <c r="L43" s="8">
        <v>446287.68</v>
      </c>
      <c r="M43" s="8">
        <v>115731.01</v>
      </c>
      <c r="N43" s="8">
        <v>281639.33166666667</v>
      </c>
    </row>
    <row r="44" spans="1:14" x14ac:dyDescent="0.25">
      <c r="A44" s="14" t="s">
        <v>172</v>
      </c>
      <c r="B44" s="8">
        <v>991947.76</v>
      </c>
      <c r="C44" s="8">
        <v>924184.86</v>
      </c>
      <c r="D44" s="8">
        <v>710586.87</v>
      </c>
      <c r="E44" s="8">
        <v>1550261.5</v>
      </c>
      <c r="F44" s="8">
        <v>2013208.63</v>
      </c>
      <c r="G44" s="8">
        <v>1701193.07</v>
      </c>
      <c r="H44" s="8">
        <v>1922529.14</v>
      </c>
      <c r="I44" s="8">
        <v>2899902.08</v>
      </c>
      <c r="J44" s="8">
        <v>1988131.98</v>
      </c>
      <c r="K44" s="8">
        <v>3158732.35</v>
      </c>
      <c r="L44" s="8">
        <v>4779546.89</v>
      </c>
      <c r="M44" s="8">
        <v>982546.76</v>
      </c>
      <c r="N44" s="8">
        <v>1968564.32</v>
      </c>
    </row>
    <row r="45" ht="29" customHeight="1" spans="1:14" x14ac:dyDescent="0.25">
      <c r="A45" s="14" t="s">
        <v>173</v>
      </c>
      <c r="B45" s="8">
        <v>219650.12</v>
      </c>
      <c r="C45" s="8">
        <v>201551.08</v>
      </c>
      <c r="D45" s="8">
        <v>250123.71</v>
      </c>
      <c r="E45" s="8">
        <v>670651.72</v>
      </c>
      <c r="F45" s="8">
        <v>430986.03</v>
      </c>
      <c r="G45" s="8">
        <v>792245.98</v>
      </c>
      <c r="H45" s="8">
        <v>862038.23</v>
      </c>
      <c r="I45" s="8">
        <v>1236877.84</v>
      </c>
      <c r="J45" s="8">
        <v>878384.57</v>
      </c>
      <c r="K45" s="8">
        <v>1329949.48</v>
      </c>
      <c r="L45" s="8">
        <v>1777426.98</v>
      </c>
      <c r="M45" s="8">
        <v>467836.26</v>
      </c>
      <c r="N45" s="8">
        <v>759810.17</v>
      </c>
    </row>
    <row r="46" spans="1:14" x14ac:dyDescent="0.25">
      <c r="A46" s="14" t="s">
        <v>174</v>
      </c>
      <c r="B46" s="8">
        <v>0</v>
      </c>
      <c r="C46" s="8">
        <v>0</v>
      </c>
      <c r="D46" s="8">
        <v>0</v>
      </c>
      <c r="E46" s="8">
        <v>0</v>
      </c>
      <c r="F46" s="8">
        <v>2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2</v>
      </c>
    </row>
    <row r="47" spans="1:14" x14ac:dyDescent="0.25">
      <c r="A47" s="14" t="s">
        <v>175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spans="1:14" x14ac:dyDescent="0.25">
      <c r="A48" s="14" t="s">
        <v>176</v>
      </c>
      <c r="B48" s="17">
        <v>137</v>
      </c>
      <c r="C48" s="17">
        <v>117</v>
      </c>
      <c r="D48" s="17">
        <v>131</v>
      </c>
      <c r="E48" s="17">
        <v>158</v>
      </c>
      <c r="F48" s="17">
        <v>112</v>
      </c>
      <c r="G48" s="17">
        <v>123</v>
      </c>
      <c r="H48" s="17">
        <v>142</v>
      </c>
      <c r="I48" s="17">
        <v>135</v>
      </c>
      <c r="J48" s="17">
        <v>180</v>
      </c>
      <c r="K48" s="17">
        <v>126</v>
      </c>
      <c r="L48" s="17">
        <v>139</v>
      </c>
      <c r="M48" s="17">
        <v>111</v>
      </c>
      <c r="N48" s="17">
        <v>1611</v>
      </c>
    </row>
    <row r="49" spans="1:14" x14ac:dyDescent="0.25">
      <c r="A49" s="14" t="s">
        <v>177</v>
      </c>
      <c r="B49" s="17">
        <v>54</v>
      </c>
      <c r="C49" s="17">
        <v>45</v>
      </c>
      <c r="D49" s="17">
        <v>95</v>
      </c>
      <c r="E49" s="17">
        <v>109</v>
      </c>
      <c r="F49" s="17">
        <v>128</v>
      </c>
      <c r="G49" s="17">
        <v>109</v>
      </c>
      <c r="H49" s="17">
        <v>114</v>
      </c>
      <c r="I49" s="17">
        <v>108</v>
      </c>
      <c r="J49" s="17">
        <v>143</v>
      </c>
      <c r="K49" s="17">
        <v>116</v>
      </c>
      <c r="L49" s="17">
        <v>108</v>
      </c>
      <c r="M49" s="17">
        <v>97</v>
      </c>
      <c r="N49" s="17">
        <v>1226</v>
      </c>
    </row>
    <row r="50" ht="29" customHeight="1" spans="1:14" x14ac:dyDescent="0.25">
      <c r="A50" s="14" t="s">
        <v>178</v>
      </c>
      <c r="B50" s="17" t="s">
        <v>161</v>
      </c>
      <c r="C50" s="17" t="s">
        <v>161</v>
      </c>
      <c r="D50" s="17" t="s">
        <v>161</v>
      </c>
      <c r="E50" s="17" t="s">
        <v>161</v>
      </c>
      <c r="F50" s="17" t="s">
        <v>161</v>
      </c>
      <c r="G50" s="17" t="s">
        <v>161</v>
      </c>
      <c r="H50" s="17" t="s">
        <v>161</v>
      </c>
      <c r="I50" s="17" t="s">
        <v>161</v>
      </c>
      <c r="J50" s="17" t="s">
        <v>161</v>
      </c>
      <c r="K50" s="17" t="s">
        <v>161</v>
      </c>
      <c r="L50" s="17" t="s">
        <v>161</v>
      </c>
      <c r="M50" s="17" t="s">
        <v>161</v>
      </c>
      <c r="N50" s="17" t="s">
        <v>161</v>
      </c>
    </row>
    <row r="51" spans="1:14" x14ac:dyDescent="0.25">
      <c r="A51" s="14" t="s">
        <v>179</v>
      </c>
      <c r="B51" s="17" t="s">
        <v>161</v>
      </c>
      <c r="C51" s="17" t="s">
        <v>161</v>
      </c>
      <c r="D51" s="17" t="s">
        <v>161</v>
      </c>
      <c r="E51" s="17" t="s">
        <v>161</v>
      </c>
      <c r="F51" s="17" t="s">
        <v>161</v>
      </c>
      <c r="G51" s="17" t="s">
        <v>161</v>
      </c>
      <c r="H51" s="17" t="s">
        <v>161</v>
      </c>
      <c r="I51" s="17" t="s">
        <v>161</v>
      </c>
      <c r="J51" s="17" t="s">
        <v>161</v>
      </c>
      <c r="K51" s="17" t="s">
        <v>161</v>
      </c>
      <c r="L51" s="17" t="s">
        <v>161</v>
      </c>
      <c r="M51" s="17" t="s">
        <v>161</v>
      </c>
      <c r="N51" s="17" t="s">
        <v>161</v>
      </c>
    </row>
    <row r="52" spans="1:14" x14ac:dyDescent="0.25">
      <c r="A52" s="14" t="s">
        <v>180</v>
      </c>
      <c r="B52" s="8">
        <v>0</v>
      </c>
      <c r="C52" s="8">
        <v>0</v>
      </c>
      <c r="D52" s="8">
        <v>0</v>
      </c>
      <c r="E52" s="8">
        <v>1</v>
      </c>
      <c r="F52" s="8">
        <v>0</v>
      </c>
      <c r="G52" s="8">
        <v>0</v>
      </c>
      <c r="H52" s="8">
        <v>2</v>
      </c>
      <c r="I52" s="8">
        <v>1</v>
      </c>
      <c r="J52" s="8">
        <v>0</v>
      </c>
      <c r="K52" s="8">
        <v>0</v>
      </c>
      <c r="L52" s="8">
        <v>0</v>
      </c>
      <c r="M52" s="8">
        <v>0</v>
      </c>
      <c r="N52" s="8">
        <v>4</v>
      </c>
    </row>
    <row r="53" spans="1:14" x14ac:dyDescent="0.25">
      <c r="A53" s="14" t="s">
        <v>181</v>
      </c>
      <c r="B53" s="8" t="s">
        <v>161</v>
      </c>
      <c r="C53" s="8" t="s">
        <v>161</v>
      </c>
      <c r="D53" s="8" t="s">
        <v>161</v>
      </c>
      <c r="E53" s="8" t="s">
        <v>161</v>
      </c>
      <c r="F53" s="8" t="s">
        <v>161</v>
      </c>
      <c r="G53" s="8" t="s">
        <v>161</v>
      </c>
      <c r="H53" s="8" t="s">
        <v>161</v>
      </c>
      <c r="I53" s="8" t="s">
        <v>161</v>
      </c>
      <c r="J53" s="8" t="s">
        <v>161</v>
      </c>
      <c r="K53" s="8" t="s">
        <v>161</v>
      </c>
      <c r="L53" s="8" t="s">
        <v>161</v>
      </c>
      <c r="M53" s="8" t="s">
        <v>161</v>
      </c>
      <c r="N53" s="8" t="s">
        <v>161</v>
      </c>
    </row>
    <row r="54" spans="1:14" x14ac:dyDescent="0.25">
      <c r="A54" s="14" t="s">
        <v>182</v>
      </c>
      <c r="B54" s="8">
        <v>90532.02</v>
      </c>
      <c r="C54" s="8">
        <v>111935.07</v>
      </c>
      <c r="D54" s="8">
        <v>101119.78</v>
      </c>
      <c r="E54" s="8">
        <v>551934.64</v>
      </c>
      <c r="F54" s="8">
        <v>148984.44</v>
      </c>
      <c r="G54" s="8">
        <v>254460.87</v>
      </c>
      <c r="H54" s="8">
        <v>547058.25</v>
      </c>
      <c r="I54" s="8">
        <v>124845.14</v>
      </c>
      <c r="J54" s="8">
        <v>523578.07</v>
      </c>
      <c r="K54" s="8">
        <v>649268.97</v>
      </c>
      <c r="L54" s="8">
        <v>1849538.39</v>
      </c>
      <c r="M54" s="8">
        <v>598940.07</v>
      </c>
      <c r="N54" s="8">
        <v>462682.98</v>
      </c>
    </row>
    <row r="55" spans="1:14" x14ac:dyDescent="0.25">
      <c r="A55" s="14" t="s">
        <v>183</v>
      </c>
      <c r="B55" s="8">
        <v>370356.79</v>
      </c>
      <c r="C55" s="8">
        <v>639854.68</v>
      </c>
      <c r="D55" s="8">
        <v>399476.33</v>
      </c>
      <c r="E55" s="8">
        <v>518408.89</v>
      </c>
      <c r="F55" s="8">
        <v>421462.28</v>
      </c>
      <c r="G55" s="8">
        <v>843013.9</v>
      </c>
      <c r="H55" s="8">
        <v>1197571.89</v>
      </c>
      <c r="I55" s="8">
        <v>1553850.96</v>
      </c>
      <c r="J55" s="8">
        <v>1542988.1</v>
      </c>
      <c r="K55" s="8">
        <v>1672669.13</v>
      </c>
      <c r="L55" s="8">
        <v>877525.28</v>
      </c>
      <c r="M55" s="8">
        <v>516821.07</v>
      </c>
      <c r="N55" s="8">
        <v>879499.94</v>
      </c>
    </row>
    <row r="56" ht="29" customHeight="1" spans="1:14" x14ac:dyDescent="0.25">
      <c r="A56" s="14" t="s">
        <v>184</v>
      </c>
      <c r="B56" s="8">
        <v>88002.06</v>
      </c>
      <c r="C56" s="8">
        <v>99649.52</v>
      </c>
      <c r="D56" s="8">
        <v>356212.35</v>
      </c>
      <c r="E56" s="8">
        <v>1550261.5</v>
      </c>
      <c r="F56" s="8">
        <v>253305</v>
      </c>
      <c r="G56" s="8">
        <v>117304.54</v>
      </c>
      <c r="H56" s="8">
        <v>177835.93</v>
      </c>
      <c r="I56" s="8">
        <v>326915.43</v>
      </c>
      <c r="J56" s="8">
        <v>126343.96</v>
      </c>
      <c r="K56" s="8">
        <v>1677010.08</v>
      </c>
      <c r="L56" s="8">
        <v>598940.07</v>
      </c>
      <c r="M56" s="8">
        <v>982546.76</v>
      </c>
      <c r="N56" s="8">
        <v>529527.27</v>
      </c>
    </row>
    <row r="57" ht="29" customHeight="1" spans="1:14" x14ac:dyDescent="0.25">
      <c r="A57" s="14" t="s">
        <v>185</v>
      </c>
      <c r="B57" s="8">
        <v>182963.62</v>
      </c>
      <c r="C57" s="8">
        <v>283813.09</v>
      </c>
      <c r="D57" s="8">
        <v>285602.82</v>
      </c>
      <c r="E57" s="8">
        <v>873535.01</v>
      </c>
      <c r="F57" s="8">
        <v>274583.91</v>
      </c>
      <c r="G57" s="8">
        <v>404926.44</v>
      </c>
      <c r="H57" s="8">
        <v>640822.02</v>
      </c>
      <c r="I57" s="8">
        <v>668537.18</v>
      </c>
      <c r="J57" s="8">
        <v>730970.04</v>
      </c>
      <c r="K57" s="8">
        <v>1332982.73</v>
      </c>
      <c r="L57" s="8">
        <v>1108667.91</v>
      </c>
      <c r="M57" s="8">
        <v>699435.97</v>
      </c>
      <c r="N57" s="8">
        <v>623903.4</v>
      </c>
    </row>
    <row r="58" ht="29" customHeight="1" spans="1:14" x14ac:dyDescent="0.25">
      <c r="A58" s="14" t="s">
        <v>186</v>
      </c>
      <c r="B58" s="17" t="s">
        <v>187</v>
      </c>
      <c r="C58" s="17" t="s">
        <v>188</v>
      </c>
      <c r="D58" s="17" t="s">
        <v>189</v>
      </c>
      <c r="E58" s="17" t="s">
        <v>190</v>
      </c>
      <c r="F58" s="17" t="s">
        <v>191</v>
      </c>
      <c r="G58" s="17" t="s">
        <v>192</v>
      </c>
      <c r="H58" s="17" t="s">
        <v>193</v>
      </c>
      <c r="I58" s="17" t="s">
        <v>194</v>
      </c>
      <c r="J58" s="17" t="s">
        <v>195</v>
      </c>
      <c r="K58" s="17" t="s">
        <v>196</v>
      </c>
      <c r="L58" s="17" t="s">
        <v>197</v>
      </c>
      <c r="M58" s="17" t="s">
        <v>198</v>
      </c>
      <c r="N58" s="17" t="s">
        <v>199</v>
      </c>
    </row>
    <row r="59" ht="29" customHeight="1" spans="1:14" x14ac:dyDescent="0.25">
      <c r="A59" s="14" t="s">
        <v>200</v>
      </c>
      <c r="B59" s="17">
        <v>1</v>
      </c>
      <c r="C59" s="17">
        <v>1</v>
      </c>
      <c r="D59" s="17">
        <v>1</v>
      </c>
      <c r="E59" s="17">
        <v>1</v>
      </c>
      <c r="F59" s="17">
        <v>1</v>
      </c>
      <c r="G59" s="17">
        <v>1</v>
      </c>
      <c r="H59" s="17">
        <v>2</v>
      </c>
      <c r="I59" s="17">
        <v>2</v>
      </c>
      <c r="J59" s="17">
        <v>2</v>
      </c>
      <c r="K59" s="17">
        <v>2</v>
      </c>
      <c r="L59" s="17">
        <v>2</v>
      </c>
      <c r="M59" s="17">
        <v>4</v>
      </c>
      <c r="N59" s="17">
        <v>20</v>
      </c>
    </row>
    <row r="60" spans="1:14" x14ac:dyDescent="0.25">
      <c r="A60" s="14" t="s">
        <v>201</v>
      </c>
      <c r="B60" s="8">
        <v>2865</v>
      </c>
      <c r="C60" s="8">
        <v>2865</v>
      </c>
      <c r="D60" s="8">
        <v>2865</v>
      </c>
      <c r="E60" s="8">
        <v>2865</v>
      </c>
      <c r="F60" s="8">
        <v>2865</v>
      </c>
      <c r="G60" s="8">
        <v>2865</v>
      </c>
      <c r="H60" s="8">
        <v>130450</v>
      </c>
      <c r="I60" s="8">
        <v>130450</v>
      </c>
      <c r="J60" s="8">
        <v>130450</v>
      </c>
      <c r="K60" s="8">
        <v>130450</v>
      </c>
      <c r="L60" s="8">
        <v>130450</v>
      </c>
      <c r="M60" s="8">
        <v>418892</v>
      </c>
      <c r="N60" s="8">
        <v>1088332</v>
      </c>
    </row>
    <row r="61" ht="29" customHeight="1" spans="1:14" x14ac:dyDescent="0.25">
      <c r="A61" s="14" t="s">
        <v>202</v>
      </c>
      <c r="B61" s="17">
        <v>1</v>
      </c>
      <c r="C61" s="17">
        <v>1</v>
      </c>
      <c r="D61" s="17">
        <v>1</v>
      </c>
      <c r="E61" s="17">
        <v>1</v>
      </c>
      <c r="F61" s="17">
        <v>1</v>
      </c>
      <c r="G61" s="17">
        <v>2</v>
      </c>
      <c r="H61" s="17">
        <v>2</v>
      </c>
      <c r="I61" s="17">
        <v>2</v>
      </c>
      <c r="J61" s="17">
        <v>2</v>
      </c>
      <c r="K61" s="17">
        <v>3</v>
      </c>
      <c r="L61" s="17">
        <v>2</v>
      </c>
      <c r="M61" s="17">
        <v>4</v>
      </c>
      <c r="N61" s="17">
        <v>22</v>
      </c>
    </row>
    <row r="62" spans="1:14" x14ac:dyDescent="0.25">
      <c r="A62" s="14" t="s">
        <v>203</v>
      </c>
      <c r="B62" s="8">
        <v>2865</v>
      </c>
      <c r="C62" s="8">
        <v>2865</v>
      </c>
      <c r="D62" s="8">
        <v>2865</v>
      </c>
      <c r="E62" s="8">
        <v>2865</v>
      </c>
      <c r="F62" s="8">
        <v>2865</v>
      </c>
      <c r="G62" s="8">
        <v>2935</v>
      </c>
      <c r="H62" s="8">
        <v>130450</v>
      </c>
      <c r="I62" s="8">
        <v>130450</v>
      </c>
      <c r="J62" s="8">
        <v>130450</v>
      </c>
      <c r="K62" s="8">
        <v>131500</v>
      </c>
      <c r="L62" s="8">
        <v>130450</v>
      </c>
      <c r="M62" s="8">
        <v>418892</v>
      </c>
      <c r="N62" s="8">
        <v>1089452</v>
      </c>
    </row>
    <row r="63" spans="1:14" x14ac:dyDescent="0.25">
      <c r="A63" s="14" t="s">
        <v>204</v>
      </c>
      <c r="B63" s="17">
        <v>7</v>
      </c>
      <c r="C63" s="17">
        <v>4</v>
      </c>
      <c r="D63" s="17">
        <v>4</v>
      </c>
      <c r="E63" s="17">
        <v>3</v>
      </c>
      <c r="F63" s="17">
        <v>2</v>
      </c>
      <c r="G63" s="17">
        <v>3</v>
      </c>
      <c r="H63" s="17">
        <v>2</v>
      </c>
      <c r="I63" s="17">
        <v>3</v>
      </c>
      <c r="J63" s="17">
        <v>4</v>
      </c>
      <c r="K63" s="17">
        <v>2</v>
      </c>
      <c r="L63" s="17">
        <v>3</v>
      </c>
      <c r="M63" s="17">
        <v>1</v>
      </c>
      <c r="N63" s="17">
        <v>38</v>
      </c>
    </row>
    <row r="64" spans="1:14" x14ac:dyDescent="0.25">
      <c r="A64" s="14" t="s">
        <v>205</v>
      </c>
      <c r="B64" s="8">
        <v>17239.5</v>
      </c>
      <c r="C64" s="8">
        <v>1436</v>
      </c>
      <c r="D64" s="8">
        <v>426</v>
      </c>
      <c r="E64" s="8">
        <v>337</v>
      </c>
      <c r="F64" s="8">
        <v>319</v>
      </c>
      <c r="G64" s="8">
        <v>569</v>
      </c>
      <c r="H64" s="8">
        <v>319</v>
      </c>
      <c r="I64" s="8">
        <v>1318</v>
      </c>
      <c r="J64" s="8">
        <v>909</v>
      </c>
      <c r="K64" s="8">
        <v>319</v>
      </c>
      <c r="L64" s="8">
        <v>102</v>
      </c>
      <c r="M64" s="8">
        <v>100</v>
      </c>
      <c r="N64" s="8">
        <v>23393.5</v>
      </c>
    </row>
    <row r="65" spans="1:14" x14ac:dyDescent="0.25">
      <c r="A65" s="14" t="s">
        <v>206</v>
      </c>
      <c r="B65" s="17">
        <v>7</v>
      </c>
      <c r="C65" s="17">
        <v>4</v>
      </c>
      <c r="D65" s="17">
        <v>4</v>
      </c>
      <c r="E65" s="17">
        <v>3</v>
      </c>
      <c r="F65" s="17">
        <v>2</v>
      </c>
      <c r="G65" s="17">
        <v>3</v>
      </c>
      <c r="H65" s="17">
        <v>2</v>
      </c>
      <c r="I65" s="17">
        <v>3</v>
      </c>
      <c r="J65" s="17">
        <v>4</v>
      </c>
      <c r="K65" s="17">
        <v>2</v>
      </c>
      <c r="L65" s="17">
        <v>3</v>
      </c>
      <c r="M65" s="17">
        <v>1</v>
      </c>
      <c r="N65" s="17">
        <v>38</v>
      </c>
    </row>
    <row r="66" spans="1:14" x14ac:dyDescent="0.25">
      <c r="A66" s="14" t="s">
        <v>207</v>
      </c>
      <c r="B66" s="8">
        <v>17239.5</v>
      </c>
      <c r="C66" s="8">
        <v>1436</v>
      </c>
      <c r="D66" s="8">
        <v>426</v>
      </c>
      <c r="E66" s="8">
        <v>337</v>
      </c>
      <c r="F66" s="8">
        <v>319</v>
      </c>
      <c r="G66" s="8">
        <v>569</v>
      </c>
      <c r="H66" s="8">
        <v>319</v>
      </c>
      <c r="I66" s="8">
        <v>1318</v>
      </c>
      <c r="J66" s="8">
        <v>909</v>
      </c>
      <c r="K66" s="8">
        <v>319</v>
      </c>
      <c r="L66" s="8">
        <v>102</v>
      </c>
      <c r="M66" s="8">
        <v>100</v>
      </c>
      <c r="N66" s="8">
        <v>23393.5</v>
      </c>
    </row>
  </sheetData>
  <mergeCells count="1">
    <mergeCell ref="A1:P1"/>
  </mergeCells>
  <printOptions horizontalCentered="1"/>
  <pageMargins left="0.25" right="0.25" top="0.55" bottom="0.45" header="0.25" footer="0.25"/>
  <pageSetup orientation="landscape" horizontalDpi="4294967295" verticalDpi="4294967295" scale="100" fitToWidth="1" fitToHeight="0" firstPageNumber="1" useFirstPageNumber="1" copies="1"/>
  <headerFooter>
    <oddHeader>&amp;C&amp;"Arial,Bold"&amp;14Bank Statement Analysis</oddHeader>
    <oddFooter>&amp;L&amp;"Arial"&amp;9Loan Application Summary&amp;C&amp;"Arial"&amp;9Page &amp;P of &amp;N&amp;R&amp;"Arial"&amp;9Generated by Cred2Tech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Bank Statement Analysis</vt:lpstr>
      <vt:lpstr>ITR Analysis</vt:lpstr>
      <vt:lpstr>GST Analysis</vt:lpstr>
      <vt:lpstr>Cibil - Transunion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Cred2Tech</dc:creator>
  <cp:lastModifiedBy>Codex verification</cp:lastModifiedBy>
  <dcterms:created xsi:type="dcterms:W3CDTF">2026-07-19T19:48:15Z</dcterms:created>
  <dcterms:modified xsi:type="dcterms:W3CDTF">2026-07-19T19:48:15Z</dcterms:modified>
</cp:coreProperties>
</file>